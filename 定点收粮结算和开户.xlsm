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060" yWindow="1575" windowWidth="8820" windowHeight="6135" firstSheet="1" activeTab="3"/>
  </bookViews>
  <sheets>
    <sheet name="Sheet1" sheetId="9" state="veryHidden" r:id="rId1"/>
    <sheet name="sql" sheetId="12" r:id="rId2"/>
    <sheet name="设置及说明" sheetId="8" r:id="rId3"/>
    <sheet name="录入界面" sheetId="3" r:id="rId4"/>
    <sheet name="detail" sheetId="2" r:id="rId5"/>
    <sheet name="打印界面" sheetId="7" state="veryHidden" r:id="rId6"/>
    <sheet name="开户" sheetId="10" r:id="rId7"/>
    <sheet name="开户历史" sheetId="13" r:id="rId8"/>
    <sheet name="新建" sheetId="11" r:id="rId9"/>
  </sheets>
  <functionGroups builtInGroupCount="17"/>
  <externalReferences>
    <externalReference r:id="rId10"/>
  </externalReferences>
  <calcPr calcId="144525"/>
</workbook>
</file>

<file path=xl/calcChain.xml><?xml version="1.0" encoding="utf-8"?>
<calcChain xmlns="http://schemas.openxmlformats.org/spreadsheetml/2006/main">
  <c r="AJ5" i="3" l="1"/>
  <c r="AI5" i="3"/>
  <c r="AH5" i="3"/>
  <c r="AG5" i="3"/>
  <c r="AF5" i="3"/>
  <c r="AD5" i="3"/>
  <c r="F11" i="3" l="1"/>
  <c r="C2" i="3" l="1"/>
  <c r="V9" i="3" l="1"/>
  <c r="H5" i="10" l="1"/>
  <c r="I9" i="10" l="1"/>
  <c r="B3" i="10"/>
  <c r="H3" i="10" l="1"/>
  <c r="Z9" i="3"/>
  <c r="S7" i="7" l="1"/>
  <c r="N7" i="7"/>
  <c r="I7" i="7"/>
  <c r="G7" i="7"/>
  <c r="E7" i="7"/>
  <c r="C9" i="7" l="1"/>
  <c r="D5" i="7" l="1"/>
  <c r="L11" i="3"/>
  <c r="AF1" i="3" s="1"/>
  <c r="V9" i="7"/>
  <c r="M15" i="7"/>
  <c r="I15" i="7"/>
  <c r="G15" i="7"/>
  <c r="D15" i="7"/>
  <c r="B15" i="7"/>
  <c r="S4" i="7"/>
  <c r="S9" i="7"/>
  <c r="N9" i="7"/>
  <c r="A9" i="7"/>
  <c r="S5" i="7"/>
  <c r="S3" i="7"/>
  <c r="C2" i="7"/>
  <c r="Z9" i="7"/>
  <c r="Y7" i="3"/>
  <c r="F11" i="7"/>
  <c r="Y7" i="7" l="1"/>
  <c r="L11" i="7"/>
  <c r="C11" i="3"/>
  <c r="H11" i="3" s="1"/>
  <c r="R11" i="3" s="1"/>
  <c r="W11" i="3" l="1"/>
  <c r="C14" i="3" s="1"/>
  <c r="C11" i="7"/>
  <c r="U14" i="3" l="1"/>
  <c r="AA14" i="3"/>
  <c r="X14" i="3"/>
  <c r="H11" i="7"/>
  <c r="R11" i="7" l="1"/>
  <c r="C14" i="7" l="1"/>
  <c r="W11" i="7"/>
  <c r="U14" i="7" l="1"/>
  <c r="I14" i="3"/>
  <c r="I14" i="7" s="1"/>
  <c r="S14" i="3"/>
  <c r="S14" i="7" s="1"/>
  <c r="AA14" i="7"/>
  <c r="P14" i="3"/>
  <c r="P14" i="7" s="1"/>
  <c r="X14" i="7"/>
  <c r="L14" i="3"/>
  <c r="L14" i="7" s="1"/>
</calcChain>
</file>

<file path=xl/sharedStrings.xml><?xml version="1.0" encoding="utf-8"?>
<sst xmlns="http://schemas.openxmlformats.org/spreadsheetml/2006/main" count="3519" uniqueCount="1003">
  <si>
    <t>毛重</t>
    <phoneticPr fontId="1" type="noConversion"/>
  </si>
  <si>
    <t>皮重</t>
    <phoneticPr fontId="1" type="noConversion"/>
  </si>
  <si>
    <t>净重</t>
    <phoneticPr fontId="1" type="noConversion"/>
  </si>
  <si>
    <t>实付粮款</t>
  </si>
  <si>
    <t>开票日期：</t>
    <phoneticPr fontId="1" type="noConversion"/>
  </si>
  <si>
    <t>车号</t>
    <phoneticPr fontId="1" type="noConversion"/>
  </si>
  <si>
    <t>单价</t>
    <phoneticPr fontId="1" type="noConversion"/>
  </si>
  <si>
    <t>水分</t>
    <phoneticPr fontId="1" type="noConversion"/>
  </si>
  <si>
    <t>杂质</t>
    <phoneticPr fontId="1" type="noConversion"/>
  </si>
  <si>
    <t>霉变粒</t>
    <phoneticPr fontId="1" type="noConversion"/>
  </si>
  <si>
    <t>不完善粒</t>
    <phoneticPr fontId="1" type="noConversion"/>
  </si>
  <si>
    <t>毛重</t>
    <phoneticPr fontId="1" type="noConversion"/>
  </si>
  <si>
    <t>皮重</t>
    <phoneticPr fontId="1" type="noConversion"/>
  </si>
  <si>
    <t>水扣重</t>
    <phoneticPr fontId="1" type="noConversion"/>
  </si>
  <si>
    <t>吉林燃料乙醇有限责任公司玉米收购凭证</t>
    <phoneticPr fontId="1" type="noConversion"/>
  </si>
  <si>
    <t>霉扣重</t>
    <phoneticPr fontId="1" type="noConversion"/>
  </si>
  <si>
    <t>玉米</t>
    <phoneticPr fontId="1" type="noConversion"/>
  </si>
  <si>
    <t>吉林燃料乙醇有限责任公司</t>
    <phoneticPr fontId="1" type="noConversion"/>
  </si>
  <si>
    <t>91220000729584186W</t>
  </si>
  <si>
    <t>万</t>
    <phoneticPr fontId="1" type="noConversion"/>
  </si>
  <si>
    <t>仟</t>
    <phoneticPr fontId="1" type="noConversion"/>
  </si>
  <si>
    <t>品名</t>
    <phoneticPr fontId="1" type="noConversion"/>
  </si>
  <si>
    <t>姓  名</t>
    <phoneticPr fontId="1" type="noConversion"/>
  </si>
  <si>
    <t>身份证</t>
    <phoneticPr fontId="1" type="noConversion"/>
  </si>
  <si>
    <t>地  址</t>
    <phoneticPr fontId="1" type="noConversion"/>
  </si>
  <si>
    <t>水份%</t>
    <phoneticPr fontId="1" type="noConversion"/>
  </si>
  <si>
    <t>杂质%</t>
    <phoneticPr fontId="1" type="noConversion"/>
  </si>
  <si>
    <t>不完善粒%</t>
    <phoneticPr fontId="1" type="noConversion"/>
  </si>
  <si>
    <t>车种</t>
    <phoneticPr fontId="1" type="noConversion"/>
  </si>
  <si>
    <t>车牌号</t>
    <phoneticPr fontId="1" type="noConversion"/>
  </si>
  <si>
    <t>水扣重</t>
    <phoneticPr fontId="1" type="noConversion"/>
  </si>
  <si>
    <t>霉扣重</t>
    <phoneticPr fontId="1" type="noConversion"/>
  </si>
  <si>
    <t>纯重</t>
    <phoneticPr fontId="1" type="noConversion"/>
  </si>
  <si>
    <t>单价</t>
    <phoneticPr fontId="1" type="noConversion"/>
  </si>
  <si>
    <t>实付款合计：</t>
    <phoneticPr fontId="1" type="noConversion"/>
  </si>
  <si>
    <t>人民币大写：</t>
    <phoneticPr fontId="1" type="noConversion"/>
  </si>
  <si>
    <t>开票日期：</t>
    <phoneticPr fontId="1" type="noConversion"/>
  </si>
  <si>
    <t>霉变率%</t>
    <phoneticPr fontId="1" type="noConversion"/>
  </si>
  <si>
    <t>售粮人</t>
    <phoneticPr fontId="1" type="noConversion"/>
  </si>
  <si>
    <t>佰</t>
    <phoneticPr fontId="1" type="noConversion"/>
  </si>
  <si>
    <t>拾</t>
    <phoneticPr fontId="1" type="noConversion"/>
  </si>
  <si>
    <t>生霉率%</t>
    <phoneticPr fontId="1" type="noConversion"/>
  </si>
  <si>
    <t>粮款</t>
    <phoneticPr fontId="1" type="noConversion"/>
  </si>
  <si>
    <t>元</t>
    <phoneticPr fontId="1" type="noConversion"/>
  </si>
  <si>
    <t>不完善粒扣重</t>
    <phoneticPr fontId="1" type="noConversion"/>
  </si>
  <si>
    <t>掺杂扣重</t>
    <phoneticPr fontId="1" type="noConversion"/>
  </si>
  <si>
    <t>应付款合计</t>
    <phoneticPr fontId="1" type="noConversion"/>
  </si>
  <si>
    <t>角</t>
    <phoneticPr fontId="1" type="noConversion"/>
  </si>
  <si>
    <t>分</t>
    <phoneticPr fontId="1" type="noConversion"/>
  </si>
  <si>
    <t>结算：</t>
    <phoneticPr fontId="1" type="noConversion"/>
  </si>
  <si>
    <t>录入:</t>
    <phoneticPr fontId="1" type="noConversion"/>
  </si>
  <si>
    <t>质检:</t>
    <phoneticPr fontId="1" type="noConversion"/>
  </si>
  <si>
    <t>毛检:</t>
    <phoneticPr fontId="1" type="noConversion"/>
  </si>
  <si>
    <t>皮
检</t>
    <phoneticPr fontId="1" type="noConversion"/>
  </si>
  <si>
    <t>打印设置：</t>
    <phoneticPr fontId="11" type="noConversion"/>
  </si>
  <si>
    <r>
      <t>打印机上边距：0</t>
    </r>
    <r>
      <rPr>
        <sz val="12"/>
        <rFont val="宋体"/>
        <family val="3"/>
        <charset val="134"/>
      </rPr>
      <t>.5,左边距：0.5 其它边距是：0</t>
    </r>
    <phoneticPr fontId="11" type="noConversion"/>
  </si>
  <si>
    <t>打印纸靠最左边上纸</t>
    <phoneticPr fontId="11" type="noConversion"/>
  </si>
  <si>
    <t>标准价格（元/公斤）</t>
    <phoneticPr fontId="11" type="noConversion"/>
  </si>
  <si>
    <t>扣水系数</t>
    <phoneticPr fontId="11" type="noConversion"/>
  </si>
  <si>
    <t>扣杂系数</t>
    <phoneticPr fontId="11" type="noConversion"/>
  </si>
  <si>
    <t>生霉系数</t>
    <phoneticPr fontId="11" type="noConversion"/>
  </si>
  <si>
    <t>霉变系数</t>
    <phoneticPr fontId="11" type="noConversion"/>
  </si>
  <si>
    <t>不完善粒系数</t>
    <phoneticPr fontId="11" type="noConversion"/>
  </si>
  <si>
    <t>注：橙色部分为需要录入处</t>
    <phoneticPr fontId="1" type="noConversion"/>
  </si>
  <si>
    <t>水份</t>
    <phoneticPr fontId="11" type="noConversion"/>
  </si>
  <si>
    <t>杂质</t>
    <phoneticPr fontId="11" type="noConversion"/>
  </si>
  <si>
    <t>生霉</t>
    <phoneticPr fontId="11" type="noConversion"/>
  </si>
  <si>
    <t>霉变</t>
    <phoneticPr fontId="11" type="noConversion"/>
  </si>
  <si>
    <t>质量标准值（%）：</t>
    <phoneticPr fontId="11" type="noConversion"/>
  </si>
  <si>
    <t>价格设置：</t>
    <phoneticPr fontId="11" type="noConversion"/>
  </si>
  <si>
    <t>不完善粒</t>
    <phoneticPr fontId="11" type="noConversion"/>
  </si>
  <si>
    <t>检质号</t>
    <phoneticPr fontId="1" type="noConversion"/>
  </si>
  <si>
    <t>检质号</t>
    <phoneticPr fontId="1" type="noConversion"/>
  </si>
  <si>
    <t>生霉率</t>
    <phoneticPr fontId="1" type="noConversion"/>
  </si>
  <si>
    <t>掺杂扣重</t>
    <phoneticPr fontId="1" type="noConversion"/>
  </si>
  <si>
    <t>开户员</t>
    <phoneticPr fontId="1" type="noConversion"/>
  </si>
  <si>
    <t>质检员</t>
    <phoneticPr fontId="1" type="noConversion"/>
  </si>
  <si>
    <t>检斤员</t>
    <phoneticPr fontId="1" type="noConversion"/>
  </si>
  <si>
    <t>售粮人姓名</t>
    <phoneticPr fontId="1" type="noConversion"/>
  </si>
  <si>
    <t>身份证</t>
    <phoneticPr fontId="1" type="noConversion"/>
  </si>
  <si>
    <t>地址</t>
    <phoneticPr fontId="1" type="noConversion"/>
  </si>
  <si>
    <t>净重</t>
    <phoneticPr fontId="1" type="noConversion"/>
  </si>
  <si>
    <t>纯重</t>
    <phoneticPr fontId="1" type="noConversion"/>
  </si>
  <si>
    <t>（以下位置请勿动：）,表的名称请勿改动</t>
    <phoneticPr fontId="11" type="noConversion"/>
  </si>
  <si>
    <t>单元格保护的口令是：123  若有价格变动，先要去掉保护，然后输入数值。方法：审阅--取消工作表保护</t>
    <phoneticPr fontId="11" type="noConversion"/>
  </si>
  <si>
    <t>议价</t>
    <phoneticPr fontId="11" type="noConversion"/>
  </si>
  <si>
    <t>(元/公斤）
告知质检后价格：</t>
    <phoneticPr fontId="1" type="noConversion"/>
  </si>
  <si>
    <t>打印内容上边距整：</t>
    <phoneticPr fontId="1" type="noConversion"/>
  </si>
  <si>
    <t>开  户  卡</t>
    <phoneticPr fontId="26" type="noConversion"/>
  </si>
  <si>
    <t>顺  序  号</t>
    <phoneticPr fontId="26" type="noConversion"/>
  </si>
  <si>
    <t>姓  名</t>
    <phoneticPr fontId="26" type="noConversion"/>
  </si>
  <si>
    <t>车牌号</t>
    <phoneticPr fontId="26" type="noConversion"/>
  </si>
  <si>
    <t>车  型</t>
    <phoneticPr fontId="26" type="noConversion"/>
  </si>
  <si>
    <t>身份证</t>
    <phoneticPr fontId="26" type="noConversion"/>
  </si>
  <si>
    <t>地  址</t>
    <phoneticPr fontId="26" type="noConversion"/>
  </si>
  <si>
    <t>(随样品传入封装检验室)</t>
    <phoneticPr fontId="26" type="noConversion"/>
  </si>
  <si>
    <t>开户员</t>
    <phoneticPr fontId="26" type="noConversion"/>
  </si>
  <si>
    <t>备  注</t>
    <phoneticPr fontId="26" type="noConversion"/>
  </si>
  <si>
    <t xml:space="preserve"> 扦样员:</t>
    <phoneticPr fontId="26" type="noConversion"/>
  </si>
  <si>
    <t>辅助扦样员:</t>
    <phoneticPr fontId="26" type="noConversion"/>
  </si>
  <si>
    <t>扦样员:</t>
    <phoneticPr fontId="26" type="noConversion"/>
  </si>
  <si>
    <t>吉B83303</t>
  </si>
  <si>
    <t>质检员</t>
  </si>
  <si>
    <t>开户员</t>
  </si>
  <si>
    <t>毛检员</t>
  </si>
  <si>
    <t>褚明江</t>
  </si>
  <si>
    <t>220281196910022637</t>
  </si>
  <si>
    <t>吉林省蛟河市河南街道新民村</t>
  </si>
  <si>
    <t>吉BB6066</t>
  </si>
  <si>
    <t>王玉军</t>
  </si>
  <si>
    <t>220281197109153417</t>
  </si>
  <si>
    <t>吉林省蛟河市松江镇靠山村</t>
  </si>
  <si>
    <t>吉B87200</t>
  </si>
  <si>
    <t>夏永波</t>
  </si>
  <si>
    <t>220281197111182612</t>
  </si>
  <si>
    <t>吉林省蛟河市拉法街道十八垧地村</t>
  </si>
  <si>
    <t>吉B87441</t>
  </si>
  <si>
    <t>222404197407043013</t>
  </si>
  <si>
    <t xml:space="preserve">刘文秋            </t>
  </si>
  <si>
    <t>吉林省蛟河市白石山镇后柳村韩家沟屯</t>
  </si>
  <si>
    <t xml:space="preserve">     开户行</t>
    <phoneticPr fontId="1" type="noConversion"/>
  </si>
  <si>
    <t xml:space="preserve">       账号</t>
    <phoneticPr fontId="1" type="noConversion"/>
  </si>
  <si>
    <t>吉林省蛟河市拉法街道拉法村河南屯</t>
  </si>
  <si>
    <t>吉C55809</t>
  </si>
  <si>
    <t xml:space="preserve">宋卫海            </t>
  </si>
  <si>
    <t>220281196304252619</t>
  </si>
  <si>
    <t xml:space="preserve">潘冬子            </t>
  </si>
  <si>
    <t>220281198212293412</t>
  </si>
  <si>
    <t>吉林省蛟河市松江镇靠山村潘家堡屯</t>
  </si>
  <si>
    <t>吉B83562</t>
  </si>
  <si>
    <t>№</t>
    <phoneticPr fontId="26" type="noConversion"/>
  </si>
  <si>
    <t>吉B89653</t>
  </si>
  <si>
    <t>周庆金</t>
  </si>
  <si>
    <t>220281197610114219</t>
  </si>
  <si>
    <t>吉林省蛟河市新农街道石头河村</t>
  </si>
  <si>
    <t>220281198910193435</t>
  </si>
  <si>
    <t>辽JM8037</t>
  </si>
  <si>
    <t xml:space="preserve">曲思南            </t>
  </si>
  <si>
    <t>220281198812165027</t>
  </si>
  <si>
    <t>吉林省蛟河市河南街道登场村登场屯</t>
  </si>
  <si>
    <t xml:space="preserve">孙雨            </t>
  </si>
  <si>
    <t>吉林省蛟河市松江镇戴露河村</t>
  </si>
  <si>
    <t>辽P8858F</t>
  </si>
  <si>
    <t>6230520540005968873</t>
  </si>
  <si>
    <t>吉AP6271</t>
  </si>
  <si>
    <t xml:space="preserve">马宝龙            </t>
  </si>
  <si>
    <t>220281197005115416</t>
  </si>
  <si>
    <t>吉林省蛟河市民主街道军营路21-13号</t>
  </si>
  <si>
    <t>吉H38979</t>
  </si>
  <si>
    <t xml:space="preserve">张立军            </t>
  </si>
  <si>
    <t>22020219840811541X</t>
  </si>
  <si>
    <t>吉林省吉林市昌邑区九站街道新村三组</t>
  </si>
  <si>
    <t>吉H06548</t>
  </si>
  <si>
    <t>黑C48205</t>
  </si>
  <si>
    <t>吉C27535</t>
  </si>
  <si>
    <t xml:space="preserve">张建君            </t>
  </si>
  <si>
    <t>220281197612034212</t>
  </si>
  <si>
    <t>吉林省蛟河市新农街道北沟村北沟屯</t>
  </si>
  <si>
    <t>辽GF2860</t>
  </si>
  <si>
    <t xml:space="preserve">周庆金            </t>
  </si>
  <si>
    <t>吉林省蛟河市新农街道石头河村半拉窝集屯</t>
  </si>
  <si>
    <t>吉B89223</t>
  </si>
  <si>
    <t xml:space="preserve">王怀玉            </t>
  </si>
  <si>
    <t>220281197209076615</t>
  </si>
  <si>
    <t>吉林省蛟河市乌林朝鲜族乡太平村太平屯</t>
  </si>
  <si>
    <t>辽GM8037</t>
  </si>
  <si>
    <t>吉C13018</t>
  </si>
  <si>
    <t>吉B89555</t>
  </si>
  <si>
    <t xml:space="preserve">王海峰            </t>
  </si>
  <si>
    <t>220281198006068214</t>
  </si>
  <si>
    <t>吉林省蛟河市河南街道口钦村口钦屯</t>
  </si>
  <si>
    <t>吉BC3566</t>
  </si>
  <si>
    <t xml:space="preserve">李玉龙            </t>
  </si>
  <si>
    <t>220281198805083816</t>
  </si>
  <si>
    <t>吉林省蛟河市庆岭镇庆岭村张家屯</t>
  </si>
  <si>
    <t>吉AP3645</t>
  </si>
  <si>
    <t>黑C47289</t>
  </si>
  <si>
    <t xml:space="preserve">潘丽萍            </t>
  </si>
  <si>
    <t>231084197305220817</t>
  </si>
  <si>
    <t>黑龙江省宁安市渤海镇上官地村129号</t>
  </si>
  <si>
    <t xml:space="preserve">蔡成             </t>
  </si>
  <si>
    <t>220202199408295419</t>
  </si>
  <si>
    <t>吉林省吉林市昌邑区九站街道头台子村四组</t>
  </si>
  <si>
    <t>黑MA8851</t>
  </si>
  <si>
    <t>吉CD2883</t>
  </si>
  <si>
    <t xml:space="preserve">顾宏宇            </t>
  </si>
  <si>
    <t>231084196502123798</t>
  </si>
  <si>
    <t>黑龙江省宁安市东京城林业局6委1组副83号</t>
  </si>
  <si>
    <t>吉H38108</t>
  </si>
  <si>
    <t xml:space="preserve">苗亮亮            </t>
  </si>
  <si>
    <t>222403198602275010</t>
  </si>
  <si>
    <t>吉林省敦化市黑石乡新集村一组</t>
  </si>
  <si>
    <t>吉H39001</t>
  </si>
  <si>
    <t>马宝龙</t>
  </si>
  <si>
    <t>吉B8A068</t>
  </si>
  <si>
    <t xml:space="preserve">吴广臣            </t>
  </si>
  <si>
    <t>220281196303102635</t>
  </si>
  <si>
    <t>吉林省蛟河市拉法街道山咀村山咀屯</t>
  </si>
  <si>
    <t>吉B7A775</t>
  </si>
  <si>
    <t>220221197011280841</t>
  </si>
  <si>
    <t>吉林省吉林市昌邑区九站街道</t>
  </si>
  <si>
    <t>黑DH0191</t>
  </si>
  <si>
    <t>黑BF4630</t>
  </si>
  <si>
    <t>黑BJ0265</t>
  </si>
  <si>
    <t>黑C49217</t>
  </si>
  <si>
    <t xml:space="preserve">李文忠            </t>
  </si>
  <si>
    <t>220281197209275032</t>
  </si>
  <si>
    <t>吉林省蛟河市河南街道碾子沟村西山屯</t>
  </si>
  <si>
    <t>吉C45487</t>
  </si>
  <si>
    <t>黑M03455</t>
  </si>
  <si>
    <t>黑M03396</t>
  </si>
  <si>
    <t>吉B88543</t>
  </si>
  <si>
    <t xml:space="preserve">刘刚             </t>
  </si>
  <si>
    <t>220281197312271013</t>
  </si>
  <si>
    <t>吉林省蛟河市新站镇靠山村西靠山屯</t>
  </si>
  <si>
    <t xml:space="preserve">杨艳玲             </t>
  </si>
  <si>
    <t>吉AP2080</t>
  </si>
  <si>
    <t xml:space="preserve">杨艳玲    </t>
  </si>
  <si>
    <t>吉B89368</t>
  </si>
  <si>
    <t xml:space="preserve">郑秋德            </t>
  </si>
  <si>
    <t>220281196805271017</t>
  </si>
  <si>
    <t>吉林省蛟河市新站镇靠山村东靠山屯</t>
  </si>
  <si>
    <t>晋M42043</t>
  </si>
  <si>
    <t xml:space="preserve">杨艳玲            </t>
  </si>
  <si>
    <t>吉BB4479</t>
  </si>
  <si>
    <t xml:space="preserve">蒋海峰            </t>
  </si>
  <si>
    <t>220281198507077012</t>
  </si>
  <si>
    <t>吉林省蛟河市新站镇富安村于安屯</t>
  </si>
  <si>
    <t xml:space="preserve">孙亚梅            </t>
  </si>
  <si>
    <t>220281197604231822</t>
  </si>
  <si>
    <t>吉林省蛟河市漂河镇梨树沟村洋湖沟屯</t>
  </si>
  <si>
    <t>吉B87678</t>
  </si>
  <si>
    <t>蒙D55590</t>
  </si>
  <si>
    <t>主  车</t>
    <phoneticPr fontId="26" type="noConversion"/>
  </si>
  <si>
    <t xml:space="preserve">姜超             </t>
  </si>
  <si>
    <t>220281199007021033</t>
  </si>
  <si>
    <t>吉林省蛟河市新站镇吉祥村河西屯</t>
  </si>
  <si>
    <t>吉B89857</t>
  </si>
  <si>
    <t xml:space="preserve">李艳             </t>
  </si>
  <si>
    <t>220281196906305423</t>
  </si>
  <si>
    <t>晋M86423</t>
  </si>
  <si>
    <t>吉H3A355</t>
  </si>
  <si>
    <t>吉H3A366</t>
  </si>
  <si>
    <t>黑C55675</t>
  </si>
  <si>
    <t xml:space="preserve">蔡卫星            </t>
  </si>
  <si>
    <t>220211197009221516</t>
  </si>
  <si>
    <t xml:space="preserve">张万英           </t>
  </si>
  <si>
    <t>220222196303160624</t>
  </si>
  <si>
    <t>吉林省舒兰市南城街惠南委五组</t>
  </si>
  <si>
    <t>黑G88218</t>
  </si>
  <si>
    <t>黑EC3360</t>
  </si>
  <si>
    <t xml:space="preserve">胡军             </t>
  </si>
  <si>
    <t>220225196103144418</t>
  </si>
  <si>
    <t>吉林省桦甸市公吉乡西河沿村三社</t>
  </si>
  <si>
    <t>吉B97539</t>
  </si>
  <si>
    <t>220211196902221514</t>
  </si>
  <si>
    <t>吉林省吉林市昌邑区九站街道陈屯村四组</t>
  </si>
  <si>
    <t>吉BA4587</t>
  </si>
  <si>
    <t xml:space="preserve">杜以金            </t>
  </si>
  <si>
    <t>220225196308174418</t>
  </si>
  <si>
    <t>吉林省桦甸市公吉乡西河沿村一社</t>
  </si>
  <si>
    <t xml:space="preserve">杨艳玲  </t>
  </si>
  <si>
    <t>吉J09855</t>
  </si>
  <si>
    <t>吉BA3530</t>
  </si>
  <si>
    <t>辽NA7231</t>
  </si>
  <si>
    <t>吉B87789</t>
  </si>
  <si>
    <t xml:space="preserve">张新             </t>
  </si>
  <si>
    <t>220281197807050036</t>
  </si>
  <si>
    <t>吉林省蛟河市河北街道民发委五组</t>
  </si>
  <si>
    <t>吉B81888</t>
  </si>
  <si>
    <t>吉B86046</t>
  </si>
  <si>
    <t xml:space="preserve">李佳维            </t>
  </si>
  <si>
    <t>220281198811155011</t>
  </si>
  <si>
    <t>吉A5C386</t>
  </si>
  <si>
    <t xml:space="preserve">徐强             </t>
  </si>
  <si>
    <t>220281197908055434</t>
  </si>
  <si>
    <t>吉林省蛟河市奶子山街道光明委七组</t>
  </si>
  <si>
    <t xml:space="preserve">马显武            </t>
  </si>
  <si>
    <t>220281196010114210</t>
  </si>
  <si>
    <t>吉林省蛟河市新农街道下洼子村下洼子屯</t>
  </si>
  <si>
    <t>吉B87428</t>
  </si>
  <si>
    <t xml:space="preserve">刘锡昌            </t>
  </si>
  <si>
    <t>220281197604184210</t>
  </si>
  <si>
    <t>吉林省蛟河市新农街道兴农村兴农屯</t>
  </si>
  <si>
    <t>吉BB0700</t>
  </si>
  <si>
    <t xml:space="preserve">宋天文            </t>
  </si>
  <si>
    <t>220281198601087014</t>
  </si>
  <si>
    <t>吉林省蛟河市新站镇保山村保山屯</t>
  </si>
  <si>
    <t>蒙A31279</t>
  </si>
  <si>
    <t xml:space="preserve">张万英          </t>
  </si>
  <si>
    <t xml:space="preserve">杨少峰            </t>
  </si>
  <si>
    <t xml:space="preserve">孙道雷            </t>
  </si>
  <si>
    <t>231084197303193114</t>
  </si>
  <si>
    <t>黑龙江省宁安市马河乡马河村1组</t>
  </si>
  <si>
    <t>黑EB3162</t>
  </si>
  <si>
    <t xml:space="preserve">耿秀荣            </t>
  </si>
  <si>
    <t>220281197802085416</t>
  </si>
  <si>
    <t>吉林省蛟河市漂河镇顺利村平安沟屯</t>
  </si>
  <si>
    <t>吉B89812</t>
  </si>
  <si>
    <t>吉AM2479</t>
  </si>
  <si>
    <t>吴宝英</t>
  </si>
  <si>
    <t>220281197712111422</t>
  </si>
  <si>
    <t>吉林省蛟河市新农街道法河沟村法河沟屯</t>
  </si>
  <si>
    <t xml:space="preserve">王新增            </t>
  </si>
  <si>
    <t>231084197609161318</t>
  </si>
  <si>
    <t>黑龙江省宁安市沙兰镇永明村3组</t>
  </si>
  <si>
    <t>吉A58463</t>
  </si>
  <si>
    <t>带挂汽车</t>
    <phoneticPr fontId="26" type="noConversion"/>
  </si>
  <si>
    <t>吉BA7220</t>
  </si>
  <si>
    <t>220281197408071817</t>
  </si>
  <si>
    <t>吉林省蛟河市漂河镇梨树沟村大梨屯</t>
  </si>
  <si>
    <t xml:space="preserve">李爱民            </t>
  </si>
  <si>
    <t xml:space="preserve">申淑靖            </t>
  </si>
  <si>
    <t>220281197104052625</t>
  </si>
  <si>
    <t xml:space="preserve">肖志强            </t>
  </si>
  <si>
    <t>220281198908265014</t>
  </si>
  <si>
    <t>吉BB6978</t>
  </si>
  <si>
    <t xml:space="preserve">刘贵臣            </t>
  </si>
  <si>
    <t>22028119630803503X</t>
  </si>
  <si>
    <t>吉AV3409</t>
  </si>
  <si>
    <t>吉B74645</t>
  </si>
  <si>
    <t xml:space="preserve">孟艳红            </t>
  </si>
  <si>
    <t>220221197310250925</t>
  </si>
  <si>
    <t>吉AP0664</t>
  </si>
  <si>
    <t xml:space="preserve">蔡万良            </t>
  </si>
  <si>
    <t>220211194702051515</t>
  </si>
  <si>
    <t xml:space="preserve">杨士源            </t>
  </si>
  <si>
    <t>220211194603271520</t>
  </si>
  <si>
    <t>吉H3A267</t>
  </si>
  <si>
    <t>吉AM2816</t>
  </si>
  <si>
    <t>黑LC5456</t>
  </si>
  <si>
    <t xml:space="preserve">杨艳玲           </t>
  </si>
  <si>
    <t>吉B74785</t>
  </si>
  <si>
    <t xml:space="preserve">王增阳            </t>
  </si>
  <si>
    <t>220281196905035011</t>
  </si>
  <si>
    <t>吉林省蛟河市河南街道保家村保家屯</t>
  </si>
  <si>
    <t>吉B88558</t>
  </si>
  <si>
    <t>吉B89752</t>
  </si>
  <si>
    <t>吉BA5915</t>
  </si>
  <si>
    <t>22028119900216545X</t>
  </si>
  <si>
    <t>吉林省蛟河市漂河镇青背村新江屯</t>
  </si>
  <si>
    <t>吉B88652</t>
  </si>
  <si>
    <t xml:space="preserve">杨艳玲         </t>
  </si>
  <si>
    <t>吉B87999</t>
  </si>
  <si>
    <t xml:space="preserve">张立军           </t>
  </si>
  <si>
    <t>吉B83666</t>
  </si>
  <si>
    <t>张立军</t>
  </si>
  <si>
    <t>吉林省吉林市九站街道新村三组</t>
  </si>
  <si>
    <t xml:space="preserve">张伟涛            </t>
  </si>
  <si>
    <t>231084197802101536</t>
  </si>
  <si>
    <t>黑龙江省宁安市海浪镇二洼村</t>
  </si>
  <si>
    <t>晋K58959</t>
  </si>
  <si>
    <t>吉AP0825</t>
  </si>
  <si>
    <t xml:space="preserve">闫朝纪            </t>
  </si>
  <si>
    <t>220281197201011438</t>
  </si>
  <si>
    <t>吉林省蛟河市白石山镇前柳村柳树河屯</t>
  </si>
  <si>
    <t>黑G84723</t>
  </si>
  <si>
    <t>吉H63988</t>
  </si>
  <si>
    <t>黑C55215</t>
  </si>
  <si>
    <t xml:space="preserve">韩立影            </t>
  </si>
  <si>
    <t>220221197906021322</t>
  </si>
  <si>
    <t>吉林省吉林市昌邑区桦皮厂镇鳌龙河村五组</t>
  </si>
  <si>
    <t>晋M44770</t>
  </si>
  <si>
    <t xml:space="preserve">公佩福            </t>
  </si>
  <si>
    <t>231084196906171518</t>
  </si>
  <si>
    <t>黑龙江省宁安市海浪镇前阳村1组</t>
  </si>
  <si>
    <t>吉B89847</t>
  </si>
  <si>
    <t xml:space="preserve">刘永             </t>
  </si>
  <si>
    <t>220281198410221874</t>
  </si>
  <si>
    <t>吉林省蛟河市漂河镇横道子村居民点屯</t>
  </si>
  <si>
    <t xml:space="preserve">刘树文            </t>
  </si>
  <si>
    <t>231084197311171513</t>
  </si>
  <si>
    <t>黑龙江省宁安市海浪镇前阳村3组</t>
  </si>
  <si>
    <t>吉B88023</t>
  </si>
  <si>
    <t xml:space="preserve">高珊珊            </t>
  </si>
  <si>
    <t>220221198607121985</t>
  </si>
  <si>
    <t>吉林省蛟河市乌林朝鲜族乡马鞍山村马鞍山屯</t>
  </si>
  <si>
    <t>吉B89278</t>
  </si>
  <si>
    <t>吉BD1469</t>
  </si>
  <si>
    <t xml:space="preserve">刘卫峰            </t>
  </si>
  <si>
    <t>220281197812305013</t>
  </si>
  <si>
    <t>吉林省蛟河市河南街道保家村三家子屯</t>
  </si>
  <si>
    <t xml:space="preserve">马光敏            </t>
  </si>
  <si>
    <t>220281196811191013</t>
  </si>
  <si>
    <t>吉林省蛟河市新站镇小姑家村河南屯</t>
  </si>
  <si>
    <t>吉B88767</t>
  </si>
  <si>
    <t xml:space="preserve">丛景峰            </t>
  </si>
  <si>
    <t>230183199403301212</t>
  </si>
  <si>
    <t>黑龙江省尚志市苇河镇青云村十二部落屯16号</t>
  </si>
  <si>
    <t>黑C54516</t>
  </si>
  <si>
    <t xml:space="preserve">杨昌保            </t>
  </si>
  <si>
    <t>220121197006045139</t>
  </si>
  <si>
    <t>吉林省榆树市新立镇大新村西城子1组</t>
  </si>
  <si>
    <t>黑G86933</t>
  </si>
  <si>
    <t>黑G88119</t>
  </si>
  <si>
    <t>黑G85497</t>
  </si>
  <si>
    <t>吉B88068</t>
  </si>
  <si>
    <t>吉BD1496</t>
  </si>
  <si>
    <t>吉B89971</t>
  </si>
  <si>
    <t>吉B86777</t>
  </si>
  <si>
    <t xml:space="preserve">杨艳玲          </t>
  </si>
  <si>
    <t xml:space="preserve">张建奎            </t>
  </si>
  <si>
    <t>220281198001157410</t>
  </si>
  <si>
    <t>吉林省蛟河市民主街道华东路15-4-47号</t>
  </si>
  <si>
    <t>6231310201007160207</t>
  </si>
  <si>
    <t>黑龙江省宁安农行</t>
  </si>
  <si>
    <t>6231310288073046188</t>
  </si>
  <si>
    <t xml:space="preserve">王小英            </t>
  </si>
  <si>
    <t>220221198611157163</t>
  </si>
  <si>
    <t>吉林省吉林市昌邑区九站街道新村村三组</t>
  </si>
  <si>
    <t>吉B88881</t>
  </si>
  <si>
    <t>吉B83999</t>
  </si>
  <si>
    <t>6228658800054547517</t>
  </si>
  <si>
    <t>吉B88349</t>
  </si>
  <si>
    <t>黑L82656</t>
  </si>
  <si>
    <t xml:space="preserve">尚智刚            </t>
  </si>
  <si>
    <t>220281197012290554</t>
  </si>
  <si>
    <t>吉林省蛟河市奶子山街道前景委五组</t>
  </si>
  <si>
    <t xml:space="preserve">许爱兵            </t>
  </si>
  <si>
    <t>220281197601024211</t>
  </si>
  <si>
    <t>吉林省蛟河市新农街道南荒地村南荒地屯</t>
  </si>
  <si>
    <t>吉B85732</t>
  </si>
  <si>
    <t>黑C78227</t>
  </si>
  <si>
    <t>吉B65199</t>
  </si>
  <si>
    <t xml:space="preserve">李天夫            </t>
  </si>
  <si>
    <t>220182198707018659</t>
  </si>
  <si>
    <t>吉林省榆树市华昌街十一委143组</t>
  </si>
  <si>
    <t>黑MJ4507</t>
  </si>
  <si>
    <t>黑J92893</t>
  </si>
  <si>
    <t>黑G85221</t>
  </si>
  <si>
    <t>黑G87618</t>
  </si>
  <si>
    <t>晋M95059</t>
  </si>
  <si>
    <t xml:space="preserve">杨艳玲        </t>
  </si>
  <si>
    <t>黑C46295</t>
  </si>
  <si>
    <t xml:space="preserve">郭成宏            </t>
  </si>
  <si>
    <t>231084196907123753</t>
  </si>
  <si>
    <t>黑龙江省宁安市东京城林业局11委1组363号</t>
  </si>
  <si>
    <t xml:space="preserve">王东生            </t>
  </si>
  <si>
    <t>220202198108080016</t>
  </si>
  <si>
    <t>吉林省吉林市昌邑区孤店子镇曹家村五组</t>
  </si>
  <si>
    <t>黑C48697</t>
  </si>
  <si>
    <t xml:space="preserve">王青财            </t>
  </si>
  <si>
    <t>220281197904266218</t>
  </si>
  <si>
    <t>吉林省蛟河市乌林朝鲜族乡富太村富太屯</t>
  </si>
  <si>
    <t>吉B89842</t>
  </si>
  <si>
    <t xml:space="preserve">王君贤            </t>
  </si>
  <si>
    <t>220281197412056214</t>
  </si>
  <si>
    <t>吉林省蛟河市乌林朝鲜族乡靠林村靠林屯</t>
  </si>
  <si>
    <t>吉B8B667</t>
  </si>
  <si>
    <t>辽GP8032</t>
  </si>
  <si>
    <t>辽GP8028</t>
  </si>
  <si>
    <t xml:space="preserve">王善良            </t>
  </si>
  <si>
    <t>220281197304025015</t>
  </si>
  <si>
    <t>吉林省蛟河市河南街道牤牛河村北岗屯</t>
  </si>
  <si>
    <t>辽GC1449</t>
  </si>
  <si>
    <t>吉BE1758</t>
  </si>
  <si>
    <t xml:space="preserve"> </t>
    <phoneticPr fontId="1" type="noConversion"/>
  </si>
  <si>
    <t>黑G78336</t>
  </si>
  <si>
    <t>黑AE7816</t>
  </si>
  <si>
    <t xml:space="preserve">徐国强            </t>
  </si>
  <si>
    <t>220281198911111016</t>
  </si>
  <si>
    <t>吉林省蛟河市新站镇河南村侯家屯</t>
  </si>
  <si>
    <t>吉BB1323</t>
  </si>
  <si>
    <t xml:space="preserve">刘东             </t>
  </si>
  <si>
    <t>220281197201188612</t>
  </si>
  <si>
    <t>吉林省蛟河市民主街道建设路197-28号</t>
  </si>
  <si>
    <t>吉B86988</t>
  </si>
  <si>
    <t>吉B89962</t>
  </si>
  <si>
    <t>吉B87866</t>
  </si>
  <si>
    <t xml:space="preserve">王雪             </t>
  </si>
  <si>
    <t>220281198710073447</t>
  </si>
  <si>
    <t>吉林省蛟河市漂河镇梨树沟村小梨屯</t>
  </si>
  <si>
    <t>吉BE3321</t>
  </si>
  <si>
    <t>吉B88885</t>
  </si>
  <si>
    <t xml:space="preserve">张继新            </t>
  </si>
  <si>
    <t>220281198603246234</t>
  </si>
  <si>
    <t>吉林省蛟河市乌林朝鲜族乡靠林村高家园子屯</t>
  </si>
  <si>
    <t>231083197906170425</t>
  </si>
  <si>
    <t xml:space="preserve">张勇             </t>
  </si>
  <si>
    <t>220281197902124232</t>
  </si>
  <si>
    <t>吉林省蛟河市新农街道永丰村赵家屯</t>
  </si>
  <si>
    <t>吉B89791</t>
  </si>
  <si>
    <t xml:space="preserve">李雨涵          </t>
  </si>
  <si>
    <t>黑龙江省海林城区奋斗路俊景园2号楼</t>
  </si>
  <si>
    <t>黑G87537</t>
  </si>
  <si>
    <t>黑C56064</t>
  </si>
  <si>
    <t>黑C52739</t>
  </si>
  <si>
    <t xml:space="preserve">王新影            </t>
  </si>
  <si>
    <t>220281199009086228</t>
  </si>
  <si>
    <t>吉B8A187</t>
  </si>
  <si>
    <t xml:space="preserve">董振兴            </t>
  </si>
  <si>
    <t>220281198607304219</t>
  </si>
  <si>
    <t>吉B87463</t>
  </si>
  <si>
    <t xml:space="preserve">王广泉            </t>
  </si>
  <si>
    <t>220281198612035017</t>
  </si>
  <si>
    <t>吉林省蛟河市河南街道池水村池水屯</t>
  </si>
  <si>
    <t>吉B80234</t>
  </si>
  <si>
    <t>吉B89909</t>
  </si>
  <si>
    <t>黑D59618</t>
  </si>
  <si>
    <t>黑G87657</t>
  </si>
  <si>
    <t>黑G88177</t>
  </si>
  <si>
    <t xml:space="preserve">许长青           </t>
  </si>
  <si>
    <t>231084197903102212</t>
  </si>
  <si>
    <t>黑龙江省宁安海浪镇长胜村4组</t>
  </si>
  <si>
    <t>黑C49117</t>
  </si>
  <si>
    <t>晋M64856</t>
  </si>
  <si>
    <t xml:space="preserve">汤云涛            </t>
  </si>
  <si>
    <t>220281198502165435</t>
  </si>
  <si>
    <t>吉林省蛟河市漂河镇青背村青背屯</t>
  </si>
  <si>
    <t>吉BE1128</t>
  </si>
  <si>
    <t xml:space="preserve">王君             </t>
  </si>
  <si>
    <t>220225197111152914</t>
  </si>
  <si>
    <t>吉林省桦甸市常山镇大河村二社</t>
  </si>
  <si>
    <t>吉BE1929</t>
  </si>
  <si>
    <t xml:space="preserve">梁孟成            </t>
  </si>
  <si>
    <t>220281198407095432</t>
  </si>
  <si>
    <t>吉林省蛟河市漂河镇先进村三道沟屯</t>
  </si>
  <si>
    <t>吉B87008</t>
  </si>
  <si>
    <t xml:space="preserve">郑雪城            </t>
  </si>
  <si>
    <t>辽11H5977</t>
  </si>
  <si>
    <t xml:space="preserve">许长青         </t>
  </si>
  <si>
    <t>黑龙江省宁安市海浪镇长胜村4组</t>
  </si>
  <si>
    <t xml:space="preserve">张文山            </t>
  </si>
  <si>
    <t>220281196502035017</t>
  </si>
  <si>
    <t>辽GF3082</t>
  </si>
  <si>
    <t>吉B86539</t>
  </si>
  <si>
    <t>蛟河农行</t>
  </si>
  <si>
    <t xml:space="preserve">孙晋成            </t>
  </si>
  <si>
    <t>220281198604194210</t>
  </si>
  <si>
    <t>吉林省蛟河市新农街道关门村关门屯</t>
  </si>
  <si>
    <t>吉B88237</t>
  </si>
  <si>
    <t xml:space="preserve">王丹             </t>
  </si>
  <si>
    <t>220204198512133928</t>
  </si>
  <si>
    <t>吉林省吉林市船营区新北街道南山道村四组</t>
  </si>
  <si>
    <t>吉B89616</t>
  </si>
  <si>
    <t>吉BA5732</t>
  </si>
  <si>
    <t>吉BB6988</t>
  </si>
  <si>
    <t xml:space="preserve">周鸿玉            </t>
  </si>
  <si>
    <t>22028119900903505X</t>
  </si>
  <si>
    <t>吉林省蛟河市河南街道保家村学田地屯</t>
  </si>
  <si>
    <t>吉AD6553</t>
  </si>
  <si>
    <t xml:space="preserve">彭依云            </t>
  </si>
  <si>
    <t>220281197910223417</t>
  </si>
  <si>
    <t>吉林省蛟河市松江镇沿湖村北沟屯</t>
  </si>
  <si>
    <t>吉H73817</t>
  </si>
  <si>
    <t>黑C47275</t>
  </si>
  <si>
    <t>吉H63091</t>
  </si>
  <si>
    <t xml:space="preserve">曲鸣             </t>
  </si>
  <si>
    <t>220204199401103915</t>
  </si>
  <si>
    <t>黑MB0628</t>
  </si>
  <si>
    <t>黑MB2693</t>
  </si>
  <si>
    <t>黑G88258</t>
  </si>
  <si>
    <t xml:space="preserve">杨昌保           </t>
  </si>
  <si>
    <t>黑G12709</t>
  </si>
  <si>
    <t>黑G88820</t>
  </si>
  <si>
    <t>黑C52247</t>
  </si>
  <si>
    <t>吉B89290</t>
  </si>
  <si>
    <t>吉CK6307</t>
  </si>
  <si>
    <t>吉AP2706</t>
  </si>
  <si>
    <t>吉A58628</t>
  </si>
  <si>
    <t>吉B85588</t>
  </si>
  <si>
    <t>黑MA8289</t>
  </si>
  <si>
    <t>吉B81777</t>
  </si>
  <si>
    <t xml:space="preserve">高为强            </t>
  </si>
  <si>
    <t>23108419920521171X</t>
  </si>
  <si>
    <t>黑龙江省宁安市宁安镇茂盛村141号</t>
  </si>
  <si>
    <t>晋M51807</t>
  </si>
  <si>
    <t>挂车</t>
    <phoneticPr fontId="1" type="noConversion"/>
  </si>
  <si>
    <t>隔天返回</t>
  </si>
  <si>
    <t>吉BC1759</t>
  </si>
  <si>
    <t>黑C41857</t>
  </si>
  <si>
    <t>黑EH1763</t>
  </si>
  <si>
    <t xml:space="preserve">朱加玲            </t>
  </si>
  <si>
    <t>220281198312111428</t>
  </si>
  <si>
    <t>吉林省蛟河市白石山镇前柳村老西沟屯</t>
  </si>
  <si>
    <t>吉B82888</t>
  </si>
  <si>
    <t>吉B88698</t>
  </si>
  <si>
    <t>吉B59710</t>
  </si>
  <si>
    <t>黑MJ2954</t>
  </si>
  <si>
    <t xml:space="preserve">张伟涛            </t>
    <phoneticPr fontId="1" type="noConversion"/>
  </si>
  <si>
    <t>吉B59710</t>
    <phoneticPr fontId="1" type="noConversion"/>
  </si>
  <si>
    <t>黑龙江省宁安市海浪镇二洼村</t>
    <phoneticPr fontId="1" type="noConversion"/>
  </si>
  <si>
    <t xml:space="preserve">231084197802101536 </t>
    <phoneticPr fontId="1" type="noConversion"/>
  </si>
  <si>
    <t>备注</t>
    <phoneticPr fontId="1" type="noConversion"/>
  </si>
  <si>
    <t>上传标志</t>
    <phoneticPr fontId="1" type="noConversion"/>
  </si>
  <si>
    <t xml:space="preserve">insert into T_balance
(
 INSPECT_NO               ,--VARCHAR2(25) not null,
  ACCOUNT_OPEN_TIME        ,--DATE not null,
  PAYEE_NAME               ,--VARCHAR2(25) not null,
  ID_CARD_NO               ,--VARCHAR2(25) not null,
  ADDR_1                   ,--VARCHAR2(250),
  --ADDR_2                   ,--VARCHAR2(25),
  --ADDR_3                   ,--VARCHAR2(25),
  --ADDR_4                   ,--VARCHAR2(25),
  --ADDR_5                   ,--VARCHAR2(25),
  VEHICLE_BRAND_NO         ,--VARCHAR2(25),
  VEHICLE_TYPE_NAME        ,--VARCHAR2(40),
  ITEM_NAME                ,--VARCHAR2(25),
  PURCHASE_TYPE            ,--VARCHAR2(25),
  --SALE_PERSON              ,--VARCHAR2(25),
  PACK_INFO                ,--VARCHAR2(25) not null,
  BAG_NUM_1                ,--NUMBER(18,4) not null,
  BAG_NUM_2                ,--NUMBER(18,4) not null,
  WATER_REAL               ,--NUMBER(18,4) not null,
  IMPURITY                 ,--NUMBER(18,4) not null,
  MOLD                     ,--NUMBER(18,4) not null,
  HALF_BAKED               ,--NUMBER(18,4) not null,
  PURE_RATE                ,--NUMBER(18,4) not null,
  --CLASS                    ,--VARCHAR2(25),
  GROSS_WEIGHT             ,--NUMBER(18,4) not null,
  UNLOAD_AREA              ,--VARCHAR2(25) not null,
  TARE_WEIGHT              ,--NUMBER(18,4) not null,
  DEDUCT_WEIGHT            ,--NUMBER(18,4) not null,
  NET_WEIGHT               ,--NUMBER(18,4) not null,
  DEDUCT_WEIGHT_WATER      ,--NUMBER(18,4) not null,
  DEDUCT_WEIGHT_IMPURITY   ,--NUMBER(18,4) not null,
  PURE_WEIGHT              ,--NUMBER(18,4) not null,
  PRICE                    ,--NUMBER(18,4) not null,
  DUE_PAY                  ,--NUMBER(18,4) not null,
  UNLOAD_FEE               ,--NUMBER(18,4) not null,
  REAL_PAY                 ,--NUMBER(18,4) not null,
  PAY_FLAG                 ,--NUMBER(1) not null,
  BALANCE_TIME             ,--DATE not null,
  PAY_TIME                 ,--DATE,
  PAY_PERSON               ,--VARCHAR2(25),
  PRINT_FLAG               ,--NUMBER(1) not null,
  REPRINT_NUM              ,--NUMBER(6) not null,
  --REPRINT_REASON           ,--VARCHAR2(100),
  TRANSMIT_FLAG            ,--NUMBER(1) not null,
  RESERVE_CHAR_1           ,--VARCHAR2(250),
  RESERVE_CHAR_2           ,--VARCHAR2(250),
  RESERVE_CHAR_3           ,--VARCHAR2(250),
  RESERVE_CHAR_4           ,--VARCHAR2(250),
  --RESERVE_CHAR_5           ,--VARCHAR2(250),
  --RESERVER_CHAR_6          ,--VARCHAR2(250),
  RESERVE_NUMBER_1         ,--NUMBER(18,4),
  RESERVE_NUMBER_2         ,--NUMBER(18,4),
  RESERVE_NUMBER_3         ,--NUMBER(18,4),
  RESERVE_NUMBER_4         ,--NUMBER(18,4),
  --RESERVE_NUMBER_5         ,--NUMBER(18,4),
  --RESERVER_NUMBER_6        ,--NUMBER(18,4),
  CRE_DATE                 ,--DATE not null,
  CRE_CD                   ,--VARCHAR2(25) not null,
  UPD_DATE                 ,--DATE not null,
  UPD_CD                   ,--VARCHAR2(25) not null,
  BARCODE                  ,--VARCHAR2(50),
  BILL_TYPE                ,--VARCHAR2(1),
  OPEN_BANK                ,--VARCHAR2(100),
  ACC_NO                   ,--VARCHAR2(50),
  ACC_NAME                 ,--VARCHAR2(100),
  ACC_ID                   ,--VARCHAR2(30),
  DRAFT_FLAG               ,--VARCHAR2(2),
  MILDEW                   ,--NUMBER(18,4),
  DEDUCT_WEIGHT_MILDEW     ,--NUMBER(18,4),
  MILDEW_WEIGHT            ,--NUMBER(18,4),
  DEDUCT_HALF_BAKED_WEIGHT --NUMBER(18,4)
)
values
(
</t>
    <phoneticPr fontId="24" type="noConversion"/>
  </si>
  <si>
    <t>蛟河二库</t>
    <phoneticPr fontId="11" type="noConversion"/>
  </si>
  <si>
    <t>收粮地点：</t>
    <phoneticPr fontId="11" type="noConversion"/>
  </si>
  <si>
    <t>已传</t>
  </si>
  <si>
    <t xml:space="preserve">insert into T_balance(
 INSPECT_NO               ,
  ACCOUNT_OPEN_TIME        ,
  PAYEE_NAME               ,
  ID_CARD_NO               ,
  ADDR_1                   ,
  VEHICLE_BRAND_NO         ,
  VEHICLE_TYPE_NAME        ,
  ITEM_NAME                ,
  PURCHASE_TYPE            ,
  PACK_INFO                ,
  BAG_NUM_1                ,
  BAG_NUM_2                ,
  WATER_REAL               ,
  IMPURITY                 ,
  MOLD                     ,
  HALF_BAKED               ,
  PURE_RATE                ,
  GROSS_WEIGHT             ,
  UNLOAD_AREA              ,
  TARE_WEIGHT              ,
  DEDUCT_WEIGHT            ,
  NET_WEIGHT               ,
  DEDUCT_WEIGHT_WATER      ,
  DEDUCT_WEIGHT_IMPURITY   ,
  PURE_WEIGHT              ,
  PRICE                    ,
  DUE_PAY                  ,
  UNLOAD_FEE               ,
  REAL_PAY                 ,
  PAY_FLAG                 ,
  BALANCE_TIME             ,
  PAY_TIME                 ,
  PAY_PERSON               ,
  PRINT_FLAG               ,
  REPRINT_NUM              ,
  TRANSMIT_FLAG            ,
  RESERVE_CHAR_1           ,
  RESERVE_CHAR_2           ,
  RESERVE_CHAR_3           ,
  RESERVE_CHAR_4           ,
  RESERVE_NUMBER_1         ,
  RESERVE_NUMBER_2         ,
  RESERVE_NUMBER_3         ,
  RESERVE_NUMBER_4         ,
  CRE_DATE                 ,
  CRE_CD                   ,
  UPD_DATE                 ,
  UPD_CD                   ,
  BARCODE                  ,
  BILL_TYPE                ,
  OPEN_BANK                ,
  ACC_NO                   ,
  ACC_NAME                 ,
  ACC_ID                   ,
  DRAFT_FLAG               ,
  MILDEW                   ,
  DEDUCT_WEIGHT_MILDEW     ,
  MILDEW_WEIGHT            ,
  DEDUCT_HALF_BAKED_WEIGHT 
)
values
(
</t>
    <phoneticPr fontId="1" type="noConversion"/>
  </si>
  <si>
    <t>insert into T_OPEN_ACCOUNT
(
  INSPECT_NO            ,--VARCHAR2(25) not null,
  SEQ_NO                ,--VARCHAR2(25) not null,
  DATA_CARD_ID       ,--VARCHAR2(100) not null,
  IDENTIFY_CARD_ID   ,--VARCHAR2(100) not null,
                                     --SALE_PERSON         VARCHAR2(25),
  VEHICLE_BRAND_NO   ,--VARCHAR2(25) not null,
  VEHICLE_TYPE           ,-- VARCHAR2(25) not null,
  PACK_INFO               ,--VARCHAR2(25) not null,
  BAG_KIND_1        ,--VARCHAR2(25),
  BAG_NUM_1         ,--NUMBER(18,4) default 0,
  BAG_KIND_2        ,--VARCHAR2(25),
  BAG_NUM_2         ,--NUMBER(18,4) default 0,
  ACCOUNT_OPEN_TIME     ,--DATE default sysdate not null,
  PRINT_FLAG            ,--NUMBER(1) default 0 not null,
  REPRINT_NUM        ,--NUMBER(6) default 0 not null,
                                  --REPRINT_REASON    VARCHAR2(100),
  TRANSMIT_FLAG          ,--NUMBER(1) default 0 not null,
                                   --RESERVE_CHAR_1     ,--VARCHAR2(250),
  RESERVE_CHAR_2       ,--VARCHAR2(250),
  RESERVE_CHAR_3      ,--VARCHAR2(250),
  RESERVE_CHAR_4      ,--VARCHAR2(250),
                                        --RESERVE_CHAR_5    VARCHAR2(250),
  RESERVER_CHAR_6    ,--VARCHAR2(250),
  RESERVE_NUMBER_1  ,--NUMBER(18,4),
                                      -- RESERVE_NUMBER_2  NUMBER(18,4),
                                       --RESERVE_NUMBER_3  NUMBER(18,4),
                                      --RESERVE_NUMBER_4  NUMBER(18,4),
                                     --RESERVE_NUMBER_5  NUMBER(18,4),
                                      --RESERVER_NUMBER_6 NUMBER(18,4),
  CRE_DATE           ,--DATE default sysdate not null,
  CRE_CD             ,--VARCHAR2(25) default 'SYSTEM' not null,
  UPD_DATE          ,-- DATE default sysdate not null,
  UPD_CD             ,--VARCHAR2(25) default 'SYSTEM' not null,
                            -- LAST_INSPECT_NO   VARCHAR2(25) default ' ',
  HGQQF             ,--VARCHAR2(2) default '0',
  BUY_STATE        ,-- VARCHAR2(25) default '0' not null,
  BUY_COST          ,--NUMBER(18,4) not null,
  TELEPHONE         --VARCHAR2(25) not null
)
values
(</t>
    <phoneticPr fontId="1" type="noConversion"/>
  </si>
  <si>
    <t>insert into t_gross
(
 INSPECT_NO        ,--VARCHAR2(25) not null,
  DATA_CARD_ID      ,--VARCHAR2(100),
  IDENTIFY_CARD_ID  ,--VARCHAR2(100),
  VEHICLE_BRAND_NO  ,--VARCHAR2(25) not null,
  WATER_MACHINE     ,--NUMBER(18,4) default 0 not null,
  WATER_REAL        ,--NUMBER(18,4) default 0 not null,
  IMPURITY          ,--NUMBER(18,4) default 0 not null,
  MOLD              ,--NUMBER(18,4) default 0 not null,
  HALF_BAKED        ,--NUMBER(18,4) default 0 not null,
  PURE_RATE         ,--NUMBER(18,4) default 0 not null,
  --CLASS           ,  --VARCHAR2(25),
  GROSS_WEIGHT      ,--NUMBER(18,4) default 0 not null,
  GROSS_TIME        ,--DATE not null,
  UNLOAD_AREA       ,--VARCHAR2(25) not null,
  PRINT_FLAG        ,--NUMBER(1) default 0 not null,
  REPRINT_NUM       ,--NUMBER(6) default 0 not null,
  --REPRINT_REASON    VARCHAR2(100),
  TRANSMIT_FLAG     ,--NUMBER(1) default 0 not null,
  --RESERVE_CHAR_1    VARCHAR2(25),
  --RESERVE_CHAR_2    VARCHAR2(25),
  --RESERVE_CHAR_3    VARCHAR2(25),
  --RESERVE_CHAR_4    VARCHAR2(25),
  --RESERVE_CHAR_5    VARCHAR2(25),
  --RESERVER_CHAR_6   VARCHAR2(25),
  --RESERVE_NUMBER_1  NUMBER(18,4),
  --RESERVE_NUMBER_2  NUMBER(18,4),
  --RESERVE_NUMBER_3  NUMBER(18,4),
  --RESERVE_NUMBER_4  NUMBER(18,4),
  --RESERVE_NUMBER_5  NUMBER(18,4),
  --RESERVER_NUMBER_6 NUMBER(18,4),
  CRE_DATE          ,--DATE default sysdate not null,
  CRE_CD            ,--VARCHAR2(25) default 'SYSTEM' not null,
  UPD_DATE          ,--DATE default sysdate not null,
  UPD_CD            ,--VARCHAR2(25) default 'SYSTEM' not null,
  BARCODE           --VARCHAR2(50)
)
values
(</t>
    <phoneticPr fontId="1" type="noConversion"/>
  </si>
  <si>
    <t>insert into t_tare
 (
 INSPECT_NO          ,--VARCHAR2(25) not null,
  DATA_CARD_ID       ,--VARCHAR2(100),
  IDENTIFY_CARD_ID   ,--VARCHAR2(100),
  VEHICLE_BRAND_NO   ,--VARCHAR2(25) not null,
  WATER_MACHINE      ,--NUMBER(18,4) default 0 not null,
  WATER_REAL         ,--NUMBER(18,4) default 0 not null,
  IMPURITY           ,--NUMBER(18,4) default 0 not null,
  MOLD               ,--NUMBER(18,4) default 0 not null,
  HALF_BAKED         ,--NUMBER(18,4) default 0 not null,
  PURE_RATE          ,--NUMBER(18,4) default 0 not null,
  --CLASS              VARCHAR2(25),
  GROSS_WEIGHT       ,--NUMBER(18,4) default 0 not null,
  UNLOAD_AREA        ,--VARCHAR2(25) not null,
  TARE_WEIGHT        ,--NUMBER(18,4) default 0 not null,
  TARE_TIME          ,--DATE not null,
  DEDUCT_WEIGHT      ,--NUMBER(18,4) default 0 not null,
  OUT_TYPE           ,--NUMBER(1) default 0 not null,
  PRINT_FLAG         ,--NUMBER(1) default 0 not null,
  REPRINT_NUM        ,--NUMBER(6) default 0 not null,
  REJECT_REPRINT_NUM ,--NUMBER(6) default 0 not null,
  --REASON             VARCHAR2(100),
  TRANSMIT_FLAG      ,--NUMBER(1) default 0 not null,
  RESERVE_CHAR_1     ,--VARCHAR2(25),
  --RESERVE_CHAR_2     VARCHAR2(25),
  --RESERVE_CHAR_3     VARCHAR2(25),
  --RESERVE_CHAR_4     VARCHAR2(25),
  --RESERVE_CHAR_5     VARCHAR2(25),
  --RESERVER_CHAR_6    VARCHAR2(25),
  RESERVE_NUMBER_1   ,--NUMBER(18,4),
  --RESERVE_NUMBER_2   NUMBER(18,4),
  ---RESERVE_NUMBER_3   NUMBER(18,4),
  --RESERVE_NUMBER_4   NUMBER(18,4),
  --RESERVE_NUMBER_5   NUMBER(18,4),
  --RESERVER_NUMBER_6  NUMBER(18,4),
  CRE_DATE           ,--DATE default sysdate not null,
  CRE_CD             ,--VARCHAR2(25) default 'SYSTEM' not null,
  UPD_DATE           ,--DATE default sysdate not null,
  UPD_CD             ,--VARCHAR2(25) default 'SYSTEM' not null,
  BARCODE            --VARCHAR2(50),
  --LAST_INSPECT_NO    VARCHAR2(25) default ''
  ) 
 values 
(</t>
    <phoneticPr fontId="1" type="noConversion"/>
  </si>
  <si>
    <t>insert into T_PICK_sample
(
  INSPECT_NO        ,--VARCHAR2(25) not null,
  DATA_CARD_ID      ,--VARCHAR2(100),
  IDENTIFY_CARD_ID  ,--VARCHAR2(100),
  VEHICLE_BRAND_NO  ,--VARCHAR2(25) not null,
  PICK_TIME         ,--DATE,
  TRANSMIT_FLAG     ,--NUMBER(1) default 0 not null,
  --RESERVE_CHAR_1    VARCHAR2(25),
  --RESERVE_CHAR_2    VARCHAR2(25),
  --RESERVE_CHAR_3    VARCHAR2(25),
  --RESERVE_CHAR_4    VARCHAR2(25),
  --RESERVE_CHAR_5    VARCHAR2(25),
  --RESERVER_CHAR_6   VARCHAR2(25),
  --RESERVE_NUMBER_1  NUMBER(18,4),
  --RESERVE_NUMBER_2  NUMBER(18,4),
  --RESERVE_NUMBER_3  NUMBER(18,4),
  --RESERVE_NUMBER_4  NUMBER(18,4),
  --RESERVE_NUMBER_5  NUMBER(18,4),
  --RESERVER_NUMBER_6 NUMBER(18,4),
  CRE_DATE          ,--DATE default sysdate not null,
  CRE_CD            ,--VARCHAR2(25) default 'SYSTEM' not null,
  UPD_DATE          ,--DATE default sysdate not null,
  UPD_CD            ,--VARCHAR2(25) default 'SYSTEM' not null,
  SHAIHUN           ,--VARCHAR2(25),
  GROSS_WEIGHT      --NUMBER(18,4) default 0 not null
)
values
(</t>
    <phoneticPr fontId="1" type="noConversion"/>
  </si>
  <si>
    <t>insert into t_quality_evaluation
(
  INSPECT_NO        ,--VARCHAR2(25) not null,
  SEQ_NO            ,--VARCHAR2(25) not null,
  DATA_CARD_ID      ,--VARCHAR2(100),
  IDENTIFY_CARD_ID  ,--VARCHAR2(100),
  VEHICLE_BRAND_NO  ,--VARCHAR2(25) not null,
  WATER_MACHINE     ,--NUMBER(18,4) default 0 not null,
  WATER_REAL        ,--NUMBER(18,4) default 0 not null,
  IMPURITY          ,--NUMBER(18,4) default 0 not null,
  MOLD              ,--NUMBER(18,4) default 0 not null,
  HALF_BAKED        ,--NUMBER(18,4) default 0,
  PURE_RATE         ,--NUMBER(18,4) default 0,
  --CLASS             VARCHAR2(25),
  CARD_STATUS       ,--NUMBER(1) default 0 not null,
  PICK_TIME         ,--DATE not null,
  PRINT_FLAG        ,--NUMBER(1) default 0 not null,
  REPRINT_NUM       ,--NUMBER(6) default 0 not null,
  --REPRINT_REASON    ,--VARCHAR2(100),
  TRANSMIT_FLAG     ,--NUMBER(1) default 0 not null,
  --RESERVE_CHAR_1    --VARCHAR2(25),
  --RESERVE_CHAR_2    VARCHAR2(25),
  --RESERVE_CHAR_3    VARCHAR2(25),
  --RESERVE_CHAR_4    VARCHAR2(25),
  --RESERVE_CHAR_5    VARCHAR2(25),
  --RESERVER_CHAR_6   VARCHAR2(25),
  --RESERVE_NUMBER_1  NUMBER(18,4),
  RESERVE_NUMBER_2  ,--NUMBER(18,4),
  RESERVE_NUMBER_3  ,--NUMBER(18,4),
  RESERVE_NUMBER_4  ,--NUMBER(18,4),
  RESERVE_NUMBER_5  ,--NUMBER(18,4) default 0,
  --RESERVER_NUMBER_6 NUMBER(18,4),
  CRE_DATE          ,--DATE default sysdate not null,
  CRE_CD            ,--VARCHAR2(25) default 'SYSTEM' not null,
  UPD_DATE          ,--DATE default sysdate not null,
  UPD_CD            ,--VARCHAR2(25) default 'SYSTEM' not null,
  BARCODE           ,--VARCHAR2(50),
  SAMPLELINE        ,--VARCHAR2(20),
  BARCODEPRINT      ,--VARCHAR2(2) default '0' not null,
  BURNT             --NUMBER(18,4) default 0 not null
)
values
 (</t>
    <phoneticPr fontId="1" type="noConversion"/>
  </si>
  <si>
    <t xml:space="preserve">    农业银行</t>
    <phoneticPr fontId="1" type="noConversion"/>
  </si>
  <si>
    <t>6228450546005744865</t>
    <phoneticPr fontId="1" type="noConversion"/>
  </si>
  <si>
    <t>6228480540706498313</t>
    <phoneticPr fontId="1" type="noConversion"/>
  </si>
  <si>
    <t>6228480548158668374</t>
    <phoneticPr fontId="1" type="noConversion"/>
  </si>
  <si>
    <t>6228410540167260413</t>
    <phoneticPr fontId="1" type="noConversion"/>
  </si>
  <si>
    <t>6228480548190207470</t>
    <phoneticPr fontId="1" type="noConversion"/>
  </si>
  <si>
    <t xml:space="preserve">    农业银行</t>
    <phoneticPr fontId="1" type="noConversion"/>
  </si>
  <si>
    <t>6228480546233305368</t>
    <phoneticPr fontId="1" type="noConversion"/>
  </si>
  <si>
    <t>6228450548005138072</t>
    <phoneticPr fontId="1" type="noConversion"/>
  </si>
  <si>
    <t>6228480548170748071</t>
    <phoneticPr fontId="1" type="noConversion"/>
  </si>
  <si>
    <t xml:space="preserve">    吉林银行</t>
    <phoneticPr fontId="1" type="noConversion"/>
  </si>
  <si>
    <t>6231310288073046188</t>
    <phoneticPr fontId="1" type="noConversion"/>
  </si>
  <si>
    <t>6228460540000644814</t>
    <phoneticPr fontId="1" type="noConversion"/>
  </si>
  <si>
    <t>6228480540795597918</t>
    <phoneticPr fontId="1" type="noConversion"/>
  </si>
  <si>
    <t>6230520540005968873</t>
    <phoneticPr fontId="1" type="noConversion"/>
  </si>
  <si>
    <t>6228450546005738669</t>
    <phoneticPr fontId="1" type="noConversion"/>
  </si>
  <si>
    <t>6230520540008638275</t>
    <phoneticPr fontId="1" type="noConversion"/>
  </si>
  <si>
    <t>6228480546225840166</t>
    <phoneticPr fontId="1" type="noConversion"/>
  </si>
  <si>
    <t>6228480208119140878</t>
    <phoneticPr fontId="1" type="noConversion"/>
  </si>
  <si>
    <t>6231310288073028103</t>
    <phoneticPr fontId="1" type="noConversion"/>
  </si>
  <si>
    <t>6228480200480062112</t>
    <phoneticPr fontId="1" type="noConversion"/>
  </si>
  <si>
    <t>6228481038114597577</t>
    <phoneticPr fontId="1" type="noConversion"/>
  </si>
  <si>
    <t>6228480548186497176</t>
    <phoneticPr fontId="1" type="noConversion"/>
  </si>
  <si>
    <t>6228450546005568868</t>
    <phoneticPr fontId="1" type="noConversion"/>
  </si>
  <si>
    <t>6231310201007160207</t>
    <phoneticPr fontId="1" type="noConversion"/>
  </si>
  <si>
    <t>6230520540004743871</t>
    <phoneticPr fontId="1" type="noConversion"/>
  </si>
  <si>
    <t>6228480546225563768</t>
    <phoneticPr fontId="1" type="noConversion"/>
  </si>
  <si>
    <t>6228460548000132078</t>
    <phoneticPr fontId="1" type="noConversion"/>
  </si>
  <si>
    <t>6228450548004540872</t>
    <phoneticPr fontId="1" type="noConversion"/>
  </si>
  <si>
    <t xml:space="preserve">    农村信用社</t>
    <phoneticPr fontId="1" type="noConversion"/>
  </si>
  <si>
    <t>6231810011301445153</t>
    <phoneticPr fontId="1" type="noConversion"/>
  </si>
  <si>
    <t>6228450540001306811</t>
    <phoneticPr fontId="1" type="noConversion"/>
  </si>
  <si>
    <t>6231310217000419457</t>
    <phoneticPr fontId="1" type="noConversion"/>
  </si>
  <si>
    <t>6228480538068876670</t>
    <phoneticPr fontId="1" type="noConversion"/>
  </si>
  <si>
    <t>6228480546233856766</t>
    <phoneticPr fontId="1" type="noConversion"/>
  </si>
  <si>
    <t>6231310217000418277</t>
    <phoneticPr fontId="1" type="noConversion"/>
  </si>
  <si>
    <t>6231310201006142701</t>
    <phoneticPr fontId="1" type="noConversion"/>
  </si>
  <si>
    <t>6228450546005720865</t>
    <phoneticPr fontId="1" type="noConversion"/>
  </si>
  <si>
    <t xml:space="preserve">    农业银行           </t>
    <phoneticPr fontId="1" type="noConversion"/>
  </si>
  <si>
    <t>6228480548052140470</t>
    <phoneticPr fontId="1" type="noConversion"/>
  </si>
  <si>
    <t>6228480548171203571</t>
    <phoneticPr fontId="1" type="noConversion"/>
  </si>
  <si>
    <t>6228480546250258763</t>
    <phoneticPr fontId="1" type="noConversion"/>
  </si>
  <si>
    <t>6230520540009573570</t>
    <phoneticPr fontId="1" type="noConversion"/>
  </si>
  <si>
    <t>6228450548004544874</t>
    <phoneticPr fontId="1" type="noConversion"/>
  </si>
  <si>
    <t>6228480548170731770</t>
    <phoneticPr fontId="1" type="noConversion"/>
  </si>
  <si>
    <t>吉林银行</t>
    <phoneticPr fontId="1" type="noConversion"/>
  </si>
  <si>
    <t>黑龙江省宁安农行</t>
    <phoneticPr fontId="1" type="noConversion"/>
  </si>
  <si>
    <t>6228480208413225870</t>
    <phoneticPr fontId="1" type="noConversion"/>
  </si>
  <si>
    <t>蛟河农行</t>
    <phoneticPr fontId="1" type="noConversion"/>
  </si>
  <si>
    <t>6228480548208731370</t>
    <phoneticPr fontId="1" type="noConversion"/>
  </si>
  <si>
    <t>6228480208425806170</t>
    <phoneticPr fontId="1" type="noConversion"/>
  </si>
  <si>
    <t>6228480546226615062</t>
    <phoneticPr fontId="1" type="noConversion"/>
  </si>
  <si>
    <t>吉林农行</t>
    <phoneticPr fontId="1" type="noConversion"/>
  </si>
  <si>
    <t>6228270541434150071</t>
    <phoneticPr fontId="1" type="noConversion"/>
  </si>
  <si>
    <t>6228270541434149974</t>
    <phoneticPr fontId="1" type="noConversion"/>
  </si>
  <si>
    <t>6228652000023752951</t>
    <phoneticPr fontId="1" type="noConversion"/>
  </si>
  <si>
    <t>6228410540030598312</t>
    <phoneticPr fontId="1" type="noConversion"/>
  </si>
  <si>
    <t>蛟河农村信用社</t>
    <phoneticPr fontId="1" type="noConversion"/>
  </si>
  <si>
    <t>6231810011301131845</t>
    <phoneticPr fontId="1" type="noConversion"/>
  </si>
  <si>
    <t xml:space="preserve">吉林农行                                  </t>
    <phoneticPr fontId="1" type="noConversion"/>
  </si>
  <si>
    <t>6228270541434149875</t>
    <phoneticPr fontId="1" type="noConversion"/>
  </si>
  <si>
    <t>6228480548210762975</t>
    <phoneticPr fontId="1" type="noConversion"/>
  </si>
  <si>
    <t xml:space="preserve">郑雪城            </t>
    <phoneticPr fontId="1" type="noConversion"/>
  </si>
  <si>
    <t>6228480548062070972</t>
    <phoneticPr fontId="1" type="noConversion"/>
  </si>
  <si>
    <t>6228480206037974568</t>
    <phoneticPr fontId="1" type="noConversion"/>
  </si>
  <si>
    <t>6228652000023107412</t>
    <phoneticPr fontId="1" type="noConversion"/>
  </si>
  <si>
    <t>6228270541256912574</t>
    <phoneticPr fontId="1" type="noConversion"/>
  </si>
  <si>
    <t>6228460200001434711</t>
    <phoneticPr fontId="1" type="noConversion"/>
  </si>
  <si>
    <t>6228480208452197279</t>
    <phoneticPr fontId="1" type="noConversion"/>
  </si>
  <si>
    <t>6228480548190593176</t>
    <phoneticPr fontId="1" type="noConversion"/>
  </si>
  <si>
    <t>桦甸农行</t>
    <phoneticPr fontId="1" type="noConversion"/>
  </si>
  <si>
    <t>6228480546145972461</t>
    <phoneticPr fontId="1" type="noConversion"/>
  </si>
  <si>
    <t>6228270541223705671</t>
    <phoneticPr fontId="1" type="noConversion"/>
  </si>
  <si>
    <t>黑龙江尚志农行</t>
    <phoneticPr fontId="1" type="noConversion"/>
  </si>
  <si>
    <t>6228480178466848979</t>
    <phoneticPr fontId="1" type="noConversion"/>
  </si>
  <si>
    <t>榆树农行</t>
    <phoneticPr fontId="1" type="noConversion"/>
  </si>
  <si>
    <t>6228450538014480870</t>
    <phoneticPr fontId="1" type="noConversion"/>
  </si>
  <si>
    <t>6228450548004994277</t>
    <phoneticPr fontId="1" type="noConversion"/>
  </si>
  <si>
    <t>6228480540734623213</t>
    <phoneticPr fontId="1" type="noConversion"/>
  </si>
  <si>
    <t>6228658800054547517</t>
    <phoneticPr fontId="1" type="noConversion"/>
  </si>
  <si>
    <t>6228480546233305368</t>
    <phoneticPr fontId="1" type="noConversion"/>
  </si>
  <si>
    <t>6228450548004999474</t>
    <phoneticPr fontId="1" type="noConversion"/>
  </si>
  <si>
    <t>6228450540016885916</t>
    <phoneticPr fontId="1" type="noConversion"/>
  </si>
  <si>
    <t>6228450538017385779</t>
    <phoneticPr fontId="1" type="noConversion"/>
  </si>
  <si>
    <t>隔天返回</t>
    <phoneticPr fontId="1" type="noConversion"/>
  </si>
  <si>
    <t>6228480208452216871</t>
    <phoneticPr fontId="1" type="noConversion"/>
  </si>
  <si>
    <t>6228480548194597876</t>
    <phoneticPr fontId="1" type="noConversion"/>
  </si>
  <si>
    <t>6228270541256911972</t>
    <phoneticPr fontId="1" type="noConversion"/>
  </si>
  <si>
    <t>6228450548004991471</t>
    <phoneticPr fontId="1" type="noConversion"/>
  </si>
  <si>
    <t>6228480548186444475</t>
    <phoneticPr fontId="1" type="noConversion"/>
  </si>
  <si>
    <t>吉林省蛟河市乌林朝鲜族乡靠林村靠林屯</t>
    <phoneticPr fontId="1" type="noConversion"/>
  </si>
  <si>
    <t>6228480548202981179</t>
    <phoneticPr fontId="1" type="noConversion"/>
  </si>
  <si>
    <t>6228480548052150875</t>
    <phoneticPr fontId="1" type="noConversion"/>
  </si>
  <si>
    <t>6230520540008701271</t>
    <phoneticPr fontId="1" type="noConversion"/>
  </si>
  <si>
    <t>蛟河信用社</t>
    <phoneticPr fontId="1" type="noConversion"/>
  </si>
  <si>
    <t>6229350113001390737</t>
    <phoneticPr fontId="1" type="noConversion"/>
  </si>
  <si>
    <t>黑龙江省海林农行</t>
    <phoneticPr fontId="1" type="noConversion"/>
  </si>
  <si>
    <t>6228480208413650671</t>
    <phoneticPr fontId="1" type="noConversion"/>
  </si>
  <si>
    <t>6228480540735178217</t>
    <phoneticPr fontId="1" type="noConversion"/>
  </si>
  <si>
    <t>6228480548170859175</t>
    <phoneticPr fontId="1" type="noConversion"/>
  </si>
  <si>
    <t>6228480546233241464</t>
    <phoneticPr fontId="1" type="noConversion"/>
  </si>
  <si>
    <t>6228270541255692979</t>
    <phoneticPr fontId="1" type="noConversion"/>
  </si>
  <si>
    <t>吉林省榆树市新立镇大新村西城子1组</t>
    <phoneticPr fontId="1" type="noConversion"/>
  </si>
  <si>
    <t>黑龙江宁安农行</t>
    <phoneticPr fontId="1" type="noConversion"/>
  </si>
  <si>
    <t>6228480208452242976</t>
    <phoneticPr fontId="1" type="noConversion"/>
  </si>
  <si>
    <t>6228480548171159674</t>
    <phoneticPr fontId="1" type="noConversion"/>
  </si>
  <si>
    <t>6228450546006810566</t>
    <phoneticPr fontId="1" type="noConversion"/>
  </si>
  <si>
    <t>6228480546225755760</t>
    <phoneticPr fontId="1" type="noConversion"/>
  </si>
  <si>
    <t>6228270541222919976</t>
    <phoneticPr fontId="1" type="noConversion"/>
  </si>
  <si>
    <t>6231810011301251593</t>
    <phoneticPr fontId="1" type="noConversion"/>
  </si>
  <si>
    <t>6230520540008695176</t>
    <phoneticPr fontId="1" type="noConversion"/>
  </si>
  <si>
    <t>6228480548190599777</t>
    <phoneticPr fontId="1" type="noConversion"/>
  </si>
  <si>
    <t>6230520540011320176</t>
    <phoneticPr fontId="1" type="noConversion"/>
  </si>
  <si>
    <t>6228480548158784270</t>
    <phoneticPr fontId="1" type="noConversion"/>
  </si>
  <si>
    <t>6230520540011338970</t>
    <phoneticPr fontId="1" type="noConversion"/>
  </si>
  <si>
    <t>6228270541260678377</t>
    <phoneticPr fontId="1" type="noConversion"/>
  </si>
  <si>
    <t>6228480546250483866</t>
    <phoneticPr fontId="1" type="noConversion"/>
  </si>
  <si>
    <t>陈兵</t>
  </si>
  <si>
    <t>231084198903201186</t>
  </si>
  <si>
    <t>黑龙江省宁安市石岩镇团山子村0710号</t>
  </si>
  <si>
    <t>6228480208431355873</t>
    <phoneticPr fontId="1" type="noConversion"/>
  </si>
  <si>
    <t>吉H83300</t>
  </si>
  <si>
    <t>吉H63738</t>
  </si>
  <si>
    <t>黑BR0027</t>
  </si>
  <si>
    <t>吉B8A099</t>
  </si>
  <si>
    <t xml:space="preserve">王兆良            </t>
  </si>
  <si>
    <t>220281197404054235</t>
  </si>
  <si>
    <t>吉林省蛟河市新农街道法河沟村王家沟屯</t>
  </si>
  <si>
    <t>6228480546051386763</t>
    <phoneticPr fontId="1" type="noConversion"/>
  </si>
  <si>
    <t xml:space="preserve">高伟             </t>
  </si>
  <si>
    <t>22028119840115661X</t>
  </si>
  <si>
    <t>吉林省蛟河市乌林朝鲜族乡厂沟村厂沟屯</t>
  </si>
  <si>
    <t>6230520540000822471</t>
    <phoneticPr fontId="1" type="noConversion"/>
  </si>
  <si>
    <t>辽GC7034</t>
  </si>
  <si>
    <t xml:space="preserve">黄祖勤            </t>
  </si>
  <si>
    <t>220281196411274215</t>
  </si>
  <si>
    <t>吉林省蛟河市新农街道西山村西山屯</t>
  </si>
  <si>
    <t>6228270541263356674</t>
    <phoneticPr fontId="1" type="noConversion"/>
  </si>
  <si>
    <t>吉BB9616</t>
  </si>
  <si>
    <t xml:space="preserve">白学选            </t>
  </si>
  <si>
    <t>22028119781230503X</t>
  </si>
  <si>
    <t>吉林省蛟河市河南街道池水村杨家堡子屯</t>
  </si>
  <si>
    <t>6231810011301252989</t>
    <phoneticPr fontId="1" type="noConversion"/>
  </si>
  <si>
    <t>吉B87422</t>
  </si>
  <si>
    <t xml:space="preserve">张风启            </t>
  </si>
  <si>
    <t>220281198005261493</t>
  </si>
  <si>
    <t>吉林省蛟河市白石山镇平岗村平岗屯</t>
  </si>
  <si>
    <t>6213360540032579213</t>
    <phoneticPr fontId="1" type="noConversion"/>
  </si>
  <si>
    <t xml:space="preserve">李清海            </t>
  </si>
  <si>
    <t>230221196603101218</t>
  </si>
  <si>
    <t>黑龙江省龙江县七棵树镇大榆树村8组</t>
  </si>
  <si>
    <t>黑龙江牡丹江农行</t>
    <phoneticPr fontId="1" type="noConversion"/>
  </si>
  <si>
    <t>6228450206016786567</t>
    <phoneticPr fontId="1" type="noConversion"/>
  </si>
  <si>
    <t xml:space="preserve">李雨涵            </t>
  </si>
  <si>
    <t>黑龙江省海林市城区奋斗路俊景园2号楼2号门市</t>
  </si>
  <si>
    <t>吉B89240</t>
  </si>
  <si>
    <t xml:space="preserve">周胜霞            </t>
  </si>
  <si>
    <t>220281197806201429</t>
  </si>
  <si>
    <t>吉林省蛟河市白石山镇育青村立新屯</t>
  </si>
  <si>
    <t>6228480540728693412</t>
    <phoneticPr fontId="1" type="noConversion"/>
  </si>
  <si>
    <t>吉AP4495</t>
  </si>
  <si>
    <t>吉CK1823</t>
  </si>
  <si>
    <t xml:space="preserve">韩立萍            </t>
  </si>
  <si>
    <t>220221198204021322</t>
  </si>
  <si>
    <t>6228652000023108782</t>
    <phoneticPr fontId="1" type="noConversion"/>
  </si>
  <si>
    <t>吉B87550</t>
  </si>
  <si>
    <t xml:space="preserve">相殿国            </t>
  </si>
  <si>
    <t>220281196809241018</t>
  </si>
  <si>
    <t>吉林省蛟河市新站镇靠山村头道河屯</t>
  </si>
  <si>
    <t>6213360540084570912</t>
    <phoneticPr fontId="1" type="noConversion"/>
  </si>
  <si>
    <t>吉AP6485</t>
  </si>
  <si>
    <t xml:space="preserve">关泽峰            </t>
  </si>
  <si>
    <t>220281197601175052</t>
  </si>
  <si>
    <t>吉林省蛟河市河南街道八垧地村桦树林子屯</t>
  </si>
  <si>
    <t>6228450546005580665</t>
    <phoneticPr fontId="1" type="noConversion"/>
  </si>
  <si>
    <t>黑G86935</t>
  </si>
  <si>
    <t>杨少锋</t>
  </si>
  <si>
    <t>吉林省吉林市昌邑区九站街道陈屯四组</t>
  </si>
  <si>
    <t>黑G88877</t>
  </si>
  <si>
    <t>黑G84999</t>
  </si>
  <si>
    <t>吉H92769</t>
  </si>
  <si>
    <t xml:space="preserve">王克金            </t>
  </si>
  <si>
    <t>222426198603181715</t>
  </si>
  <si>
    <t>吉林省安图县松江镇黄泥村二组</t>
  </si>
  <si>
    <t>安图农行</t>
    <phoneticPr fontId="1" type="noConversion"/>
  </si>
  <si>
    <t>6228411034500646578</t>
    <phoneticPr fontId="1" type="noConversion"/>
  </si>
  <si>
    <t>吉H90889</t>
  </si>
  <si>
    <t>晋M80108</t>
  </si>
  <si>
    <t xml:space="preserve">于秋             </t>
  </si>
  <si>
    <t>231084198910111138</t>
  </si>
  <si>
    <t>6228450206017054668</t>
    <phoneticPr fontId="1" type="noConversion"/>
  </si>
  <si>
    <t>黑龙江海林农行</t>
    <phoneticPr fontId="1" type="noConversion"/>
  </si>
  <si>
    <t xml:space="preserve">孙克明            </t>
  </si>
  <si>
    <t>220281197106152638</t>
  </si>
  <si>
    <t>吉林省蛟河市拉法街道爱国村同庆屯</t>
  </si>
  <si>
    <t>6228480540728782116</t>
    <phoneticPr fontId="1" type="noConversion"/>
  </si>
  <si>
    <t>吉BB4393</t>
  </si>
  <si>
    <t xml:space="preserve">张敬来            </t>
  </si>
  <si>
    <t>220283198201222718</t>
  </si>
  <si>
    <t>吉林省舒兰市上营镇河南村五社</t>
  </si>
  <si>
    <t>6228480548169422076</t>
    <phoneticPr fontId="1" type="noConversion"/>
  </si>
  <si>
    <t xml:space="preserve">孙涛             </t>
  </si>
  <si>
    <t>220281198605115019</t>
  </si>
  <si>
    <t>吉林省蛟河市河南街道八垧地村八垧地屯</t>
  </si>
  <si>
    <t>6228480546225941667</t>
    <phoneticPr fontId="1" type="noConversion"/>
  </si>
  <si>
    <t>吉CK0538</t>
  </si>
  <si>
    <t>辽GG3484</t>
  </si>
  <si>
    <t>吉B87481</t>
  </si>
  <si>
    <t>吉B89174</t>
  </si>
  <si>
    <t xml:space="preserve">杨丹丹            </t>
  </si>
  <si>
    <t>220281198208246226</t>
  </si>
  <si>
    <t>6230520540008702170</t>
    <phoneticPr fontId="1" type="noConversion"/>
  </si>
  <si>
    <t>吉BB0320</t>
  </si>
  <si>
    <t xml:space="preserve">曹政             </t>
  </si>
  <si>
    <t>220281196302120014</t>
  </si>
  <si>
    <t>吉林省蛟河市长安街道长安路165号</t>
  </si>
  <si>
    <t>蛟河建行</t>
    <phoneticPr fontId="1" type="noConversion"/>
  </si>
  <si>
    <t>4367420839610345250</t>
    <phoneticPr fontId="1" type="noConversion"/>
  </si>
  <si>
    <t>吉B89885</t>
  </si>
  <si>
    <t xml:space="preserve">徐国             </t>
  </si>
  <si>
    <t>220281197201045435</t>
  </si>
  <si>
    <t>吉林省蛟河市漂河镇富江村西扇子沟屯</t>
  </si>
  <si>
    <t>6228410540004348512</t>
    <phoneticPr fontId="1" type="noConversion"/>
  </si>
  <si>
    <t>辽P20415</t>
  </si>
  <si>
    <t xml:space="preserve">曾宪波            </t>
  </si>
  <si>
    <t>220281199004165437</t>
  </si>
  <si>
    <t>吉林省蛟河市漂河镇小南沟村小南沟屯</t>
  </si>
  <si>
    <t>6228480548190130573</t>
    <phoneticPr fontId="1" type="noConversion"/>
  </si>
  <si>
    <t>吉B87416</t>
  </si>
  <si>
    <t>吉AP2479</t>
  </si>
  <si>
    <t>黑BM4630</t>
  </si>
  <si>
    <t>吉B97680</t>
  </si>
  <si>
    <t xml:space="preserve">迟强             </t>
  </si>
  <si>
    <t>22028219920925291X</t>
  </si>
  <si>
    <t>吉林省桦甸市常山镇桃山村东九振社</t>
  </si>
  <si>
    <t>6228480548052111976</t>
    <phoneticPr fontId="1" type="noConversion"/>
  </si>
  <si>
    <t>吉BB5482</t>
  </si>
  <si>
    <t xml:space="preserve">赵文敏            </t>
  </si>
  <si>
    <t>220282198905282915</t>
  </si>
  <si>
    <t>吉林省桦甸市常山镇桃山村东山前社</t>
  </si>
  <si>
    <t>6228410540429390412</t>
    <phoneticPr fontId="1" type="noConversion"/>
  </si>
  <si>
    <t>吉A8G209</t>
  </si>
  <si>
    <t xml:space="preserve">周立龙            </t>
  </si>
  <si>
    <t>220281198504141816</t>
  </si>
  <si>
    <t>吉林省蛟河市漂河镇桦皮甸村后桦屯</t>
  </si>
  <si>
    <t>6228410544500058476</t>
    <phoneticPr fontId="1" type="noConversion"/>
  </si>
  <si>
    <t xml:space="preserve">王丛海            </t>
  </si>
  <si>
    <t>23108419690221375X</t>
  </si>
  <si>
    <t>黑龙江省宁安市东京城林业局扶育站经营所1组副285号</t>
  </si>
  <si>
    <t>黑龙江宁安邮政</t>
    <phoneticPr fontId="1" type="noConversion"/>
  </si>
  <si>
    <t>6217982610002852665</t>
    <phoneticPr fontId="1" type="noConversion"/>
  </si>
  <si>
    <t>吉B89238</t>
  </si>
  <si>
    <t xml:space="preserve">曹务岭            </t>
  </si>
  <si>
    <t>220281197012166211</t>
  </si>
  <si>
    <t>6228270541256911873</t>
    <phoneticPr fontId="1" type="noConversion"/>
  </si>
  <si>
    <t>黑C67908</t>
  </si>
  <si>
    <t xml:space="preserve">苏义江            </t>
  </si>
  <si>
    <t>220281195407285013</t>
  </si>
  <si>
    <t>6228480548062275373</t>
    <phoneticPr fontId="1" type="noConversion"/>
  </si>
  <si>
    <t>黑BB9616</t>
  </si>
  <si>
    <t xml:space="preserve">侯成鑫            </t>
  </si>
  <si>
    <t>220281199008061811</t>
  </si>
  <si>
    <t>6228450546005609068</t>
    <phoneticPr fontId="1" type="noConversion"/>
  </si>
  <si>
    <t>吉B87108</t>
  </si>
  <si>
    <t>吉B8Z108</t>
  </si>
  <si>
    <t xml:space="preserve">王黎新            </t>
  </si>
  <si>
    <t>220281197106084620</t>
  </si>
  <si>
    <t>吉林省蛟河市白石山镇前柳村黑顶子屯</t>
  </si>
  <si>
    <t>6228480546247211560</t>
    <phoneticPr fontId="1" type="noConversion"/>
  </si>
  <si>
    <t>吉B66192</t>
  </si>
  <si>
    <t xml:space="preserve">邵秀伟            </t>
  </si>
  <si>
    <t>220222197704172719</t>
  </si>
  <si>
    <t>吉林省舒兰市上营镇河南村四社</t>
  </si>
  <si>
    <t>舒兰农行</t>
    <phoneticPr fontId="1" type="noConversion"/>
  </si>
  <si>
    <t>6228480540724178715</t>
    <phoneticPr fontId="1" type="noConversion"/>
  </si>
  <si>
    <t>吉B89765</t>
  </si>
  <si>
    <t>吉B97379</t>
  </si>
  <si>
    <t xml:space="preserve">林鹏             </t>
  </si>
  <si>
    <t>220281198709015012</t>
  </si>
  <si>
    <t>6228270541222894070</t>
    <phoneticPr fontId="1" type="noConversion"/>
  </si>
  <si>
    <t xml:space="preserve">李滨生            </t>
  </si>
  <si>
    <t>220281197702174235</t>
  </si>
  <si>
    <t>吉林省蛟河市新农街道关门村新立屯</t>
  </si>
  <si>
    <t>6228480546225705468</t>
    <phoneticPr fontId="1" type="noConversion"/>
  </si>
  <si>
    <t>吉B8A189</t>
  </si>
  <si>
    <t xml:space="preserve">付立家            </t>
  </si>
  <si>
    <t>220281197808062610</t>
  </si>
  <si>
    <t>吉林省蛟河市拉法街道海青村冷家店屯</t>
  </si>
  <si>
    <t>6228480546233416561</t>
    <phoneticPr fontId="1" type="noConversion"/>
  </si>
  <si>
    <t>吉B89809</t>
  </si>
  <si>
    <t xml:space="preserve">杨元才            </t>
  </si>
  <si>
    <t>220281197007132615</t>
  </si>
  <si>
    <t>吉林省蛟河市拉法街道爱国村保安屯</t>
  </si>
  <si>
    <t>蛟河邮政</t>
    <phoneticPr fontId="1" type="noConversion"/>
  </si>
  <si>
    <t>6217992400062028796</t>
    <phoneticPr fontId="1" type="noConversion"/>
  </si>
  <si>
    <t>吉B5C030</t>
  </si>
  <si>
    <t xml:space="preserve">吕兆新            </t>
  </si>
  <si>
    <t>220222197806252736</t>
  </si>
  <si>
    <t>吉林省舒兰市上营镇牛头村四社</t>
  </si>
  <si>
    <t>6228480540724270819</t>
    <phoneticPr fontId="1" type="noConversion"/>
  </si>
  <si>
    <t>吉B88188</t>
  </si>
  <si>
    <t>吉H92225</t>
  </si>
  <si>
    <t>辽GP8161</t>
  </si>
  <si>
    <t>吉B53943</t>
  </si>
  <si>
    <t xml:space="preserve">王成禹            </t>
  </si>
  <si>
    <t>22028119881007341X</t>
  </si>
  <si>
    <t>吉林省蛟河市松江镇四合村荒格子屯</t>
  </si>
  <si>
    <t>6228460540001192615</t>
    <phoneticPr fontId="1" type="noConversion"/>
  </si>
  <si>
    <t xml:space="preserve">李学文            </t>
  </si>
  <si>
    <t>220281198505204217</t>
  </si>
  <si>
    <t>吉林省蛟河市新农街道兴农村北沟屯</t>
  </si>
  <si>
    <t>6228270546501508077</t>
    <phoneticPr fontId="1" type="noConversion"/>
  </si>
  <si>
    <t>吉A5C995</t>
  </si>
  <si>
    <t>吉BC8998</t>
  </si>
  <si>
    <t xml:space="preserve">郑遵宝            </t>
  </si>
  <si>
    <t>220281198106101819</t>
  </si>
  <si>
    <t>吉林省蛟河市漂河镇桦皮甸村前桦屯</t>
  </si>
  <si>
    <t>6228480546021099066</t>
    <phoneticPr fontId="1" type="noConversion"/>
  </si>
  <si>
    <t xml:space="preserve">赵明达            </t>
  </si>
  <si>
    <t>220281199007185038</t>
  </si>
  <si>
    <t>吉林省蛟河市河南街道碾子沟村碾子沟屯</t>
  </si>
  <si>
    <t>6228450546005745060</t>
    <phoneticPr fontId="1" type="noConversion"/>
  </si>
  <si>
    <t>吉B64651</t>
  </si>
  <si>
    <t xml:space="preserve">刘庆杰            </t>
  </si>
  <si>
    <t>220283197209042725</t>
  </si>
  <si>
    <t>6228270541241520771</t>
    <phoneticPr fontId="1" type="noConversion"/>
  </si>
  <si>
    <t>吉B89220</t>
  </si>
  <si>
    <t xml:space="preserve">刘庆才            </t>
  </si>
  <si>
    <t>220222197812312715</t>
  </si>
  <si>
    <t>吉林省舒兰市上营镇二合村一社</t>
  </si>
  <si>
    <t>6228480546144176668</t>
    <phoneticPr fontId="1" type="noConversion"/>
  </si>
  <si>
    <t>吉A5G725</t>
  </si>
  <si>
    <t>吉B86009</t>
  </si>
  <si>
    <t xml:space="preserve">李雨涵           </t>
  </si>
  <si>
    <t>黑C53148</t>
  </si>
  <si>
    <t>辽ML1599</t>
  </si>
  <si>
    <t>吉B81752</t>
  </si>
  <si>
    <t xml:space="preserve">王玲             </t>
  </si>
  <si>
    <t>220202198206090023</t>
  </si>
  <si>
    <t>6230520540002642471</t>
    <phoneticPr fontId="1" type="noConversion"/>
  </si>
  <si>
    <t>鲁HBY035</t>
  </si>
  <si>
    <t xml:space="preserve">张卫民            </t>
  </si>
  <si>
    <t>220281197905108238</t>
  </si>
  <si>
    <t>吉林省蛟河市奶子山街道工业村铁北屯</t>
  </si>
  <si>
    <t>6228450548004991372</t>
    <phoneticPr fontId="1" type="noConversion"/>
  </si>
  <si>
    <t>吉AM1529</t>
  </si>
  <si>
    <t>吉B89975</t>
  </si>
  <si>
    <t>吉A5K113</t>
  </si>
  <si>
    <t>吉A5C400</t>
  </si>
  <si>
    <t>黑DH3725</t>
  </si>
  <si>
    <t>黑AF3227</t>
  </si>
  <si>
    <t>吉B87006</t>
  </si>
  <si>
    <t>吉B89248</t>
  </si>
  <si>
    <t>吉BD6485</t>
  </si>
  <si>
    <t xml:space="preserve">王丽国            </t>
  </si>
  <si>
    <t>220281197409215413</t>
  </si>
  <si>
    <t>吉林省蛟河市民主街道建设路69-29-5-301号</t>
  </si>
  <si>
    <t>6228460546002030266</t>
    <phoneticPr fontId="1" type="noConversion"/>
  </si>
  <si>
    <t xml:space="preserve">李德义            </t>
  </si>
  <si>
    <t>220281196210204237</t>
  </si>
  <si>
    <t>吉林省蛟河市新农街道井沿村井沿屯</t>
  </si>
  <si>
    <t>6229350113002389100</t>
    <phoneticPr fontId="1" type="noConversion"/>
  </si>
  <si>
    <t>上传</t>
    <phoneticPr fontId="1" type="noConversion"/>
  </si>
  <si>
    <t>顺序号</t>
    <phoneticPr fontId="1" type="noConversion"/>
  </si>
  <si>
    <t>身份证</t>
    <phoneticPr fontId="1" type="noConversion"/>
  </si>
  <si>
    <t>开户银行</t>
    <phoneticPr fontId="1" type="noConversion"/>
  </si>
  <si>
    <t>银行账号</t>
    <phoneticPr fontId="1" type="noConversion"/>
  </si>
  <si>
    <t>开户银行：</t>
    <phoneticPr fontId="24" type="noConversion"/>
  </si>
  <si>
    <t>银行账号：</t>
    <phoneticPr fontId="24" type="noConversion"/>
  </si>
  <si>
    <t>本人住址</t>
    <phoneticPr fontId="1" type="noConversion"/>
  </si>
  <si>
    <t xml:space="preserve">    农业银行</t>
    <phoneticPr fontId="1" type="noConversion"/>
  </si>
  <si>
    <t>黑龙江省宁安农行</t>
    <phoneticPr fontId="1" type="noConversion"/>
  </si>
  <si>
    <t>姓名</t>
    <phoneticPr fontId="1" type="noConversion"/>
  </si>
  <si>
    <t>车牌号</t>
    <phoneticPr fontId="1" type="noConversion"/>
  </si>
  <si>
    <t>车型</t>
    <phoneticPr fontId="1" type="noConversion"/>
  </si>
  <si>
    <t>四轮车</t>
  </si>
  <si>
    <t>四轮车</t>
    <phoneticPr fontId="26" type="noConversion"/>
  </si>
  <si>
    <t>w</t>
    <phoneticPr fontId="1" type="noConversion"/>
  </si>
  <si>
    <t>2</t>
    <phoneticPr fontId="1" type="noConversion"/>
  </si>
  <si>
    <t>aa</t>
    <phoneticPr fontId="1" type="noConversion"/>
  </si>
  <si>
    <t>aa</t>
    <phoneticPr fontId="1" type="noConversion"/>
  </si>
  <si>
    <t>6228480206037974568</t>
  </si>
  <si>
    <t>ee</t>
    <phoneticPr fontId="1" type="noConversion"/>
  </si>
  <si>
    <t>rr</t>
    <phoneticPr fontId="1" type="noConversion"/>
  </si>
  <si>
    <t>3434343434</t>
    <phoneticPr fontId="1" type="noConversion"/>
  </si>
  <si>
    <t>ghghgh</t>
    <phoneticPr fontId="1" type="noConversion"/>
  </si>
  <si>
    <t>3434343434</t>
    <phoneticPr fontId="1" type="noConversion"/>
  </si>
  <si>
    <t>吉林省吉林市九站</t>
    <phoneticPr fontId="1" type="noConversion"/>
  </si>
  <si>
    <t>333</t>
  </si>
  <si>
    <t>yyy</t>
  </si>
  <si>
    <t>yyy</t>
    <phoneticPr fontId="24" type="noConversion"/>
  </si>
  <si>
    <t>5555</t>
  </si>
  <si>
    <t>5555</t>
    <phoneticPr fontId="24" type="noConversion"/>
  </si>
  <si>
    <t>666</t>
  </si>
  <si>
    <t>666</t>
    <phoneticPr fontId="24" type="noConversion"/>
  </si>
  <si>
    <t>注：对刚打印过的开户单，立即再打印时，开户历史记录不再重复增加</t>
    <phoneticPr fontId="24" type="noConversion"/>
  </si>
  <si>
    <t>3336</t>
    <phoneticPr fontId="24" type="noConversion"/>
  </si>
  <si>
    <t>质检传来的数据：</t>
    <phoneticPr fontId="1" type="noConversion"/>
  </si>
  <si>
    <t>检质号：</t>
    <phoneticPr fontId="1" type="noConversion"/>
  </si>
  <si>
    <t>水份</t>
    <phoneticPr fontId="1" type="noConversion"/>
  </si>
  <si>
    <t>杂质</t>
    <phoneticPr fontId="1" type="noConversion"/>
  </si>
  <si>
    <t>不完善粒</t>
    <phoneticPr fontId="1" type="noConversion"/>
  </si>
  <si>
    <t>霉娈率</t>
    <phoneticPr fontId="1" type="noConversion"/>
  </si>
  <si>
    <t>生霉率</t>
    <phoneticPr fontId="1" type="noConversion"/>
  </si>
  <si>
    <t>拒收否：</t>
    <phoneticPr fontId="1" type="noConversion"/>
  </si>
  <si>
    <t>收</t>
    <phoneticPr fontId="1" type="noConversion"/>
  </si>
  <si>
    <t>砂石率</t>
    <phoneticPr fontId="1" type="noConversion"/>
  </si>
  <si>
    <t>粮检时间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</si>
</sst>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0"/>
    <numFmt numFmtId="177" formatCode="0.000"/>
    <numFmt numFmtId="178" formatCode="[DBNum2][$-804]General"/>
    <numFmt numFmtId="179" formatCode="0.00000_ "/>
    <numFmt numFmtId="180" formatCode="0.000_ "/>
    <numFmt numFmtId="181" formatCode="yyyy&quot;年&quot;m&quot;月&quot;d&quot;日&quot;;@"/>
    <numFmt numFmtId="182" formatCode="yyyy/m/d\ h:mm;@"/>
  </numFmts>
  <fonts count="37" x14ac:knownFonts="1">
    <font>
      <sz val="12"/>
      <name val="宋体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10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sz val="8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b/>
      <sz val="10"/>
      <color indexed="64"/>
      <name val="Microsoft Sans Serif"/>
      <family val="2"/>
      <charset val="134"/>
    </font>
    <font>
      <sz val="10"/>
      <color indexed="64"/>
      <name val="Microsoft Sans Serif"/>
      <family val="2"/>
      <charset val="134"/>
    </font>
    <font>
      <b/>
      <sz val="12"/>
      <name val="宋体"/>
      <family val="3"/>
      <charset val="134"/>
    </font>
    <font>
      <b/>
      <sz val="14"/>
      <name val="宋体"/>
      <family val="3"/>
      <charset val="134"/>
    </font>
    <font>
      <b/>
      <sz val="10"/>
      <color indexed="64"/>
      <name val="宋体"/>
      <family val="3"/>
      <charset val="134"/>
    </font>
    <font>
      <i/>
      <sz val="10"/>
      <name val="宋体"/>
      <family val="3"/>
      <charset val="134"/>
    </font>
    <font>
      <b/>
      <sz val="8"/>
      <color rgb="FFFF000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2"/>
      <color rgb="FFFF0000"/>
      <name val="宋体"/>
      <family val="3"/>
      <charset val="134"/>
    </font>
    <font>
      <b/>
      <sz val="9"/>
      <color rgb="FFFF0000"/>
      <name val="宋体"/>
      <family val="3"/>
      <charset val="134"/>
    </font>
    <font>
      <sz val="12"/>
      <color rgb="FFFF0000"/>
      <name val="宋体"/>
      <family val="3"/>
      <charset val="134"/>
    </font>
    <font>
      <sz val="9"/>
      <name val="宋体"/>
      <family val="3"/>
      <charset val="134"/>
    </font>
    <font>
      <b/>
      <u val="double"/>
      <sz val="18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b/>
      <sz val="14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8"/>
      <color theme="1"/>
      <name val="宋体"/>
      <family val="2"/>
      <charset val="134"/>
      <scheme val="minor"/>
    </font>
    <font>
      <sz val="14"/>
      <color theme="1"/>
      <name val="宋体"/>
      <family val="2"/>
      <charset val="134"/>
      <scheme val="minor"/>
    </font>
    <font>
      <sz val="14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0"/>
      <color theme="0"/>
      <name val="宋体"/>
      <family val="3"/>
      <charset val="134"/>
    </font>
    <font>
      <sz val="12"/>
      <color rgb="FF000000"/>
      <name val="宋体"/>
      <family val="3"/>
      <charset val="134"/>
    </font>
    <font>
      <sz val="10"/>
      <color rgb="FFFF0000"/>
      <name val="宋体"/>
      <family val="3"/>
      <charset val="134"/>
    </font>
    <font>
      <b/>
      <i/>
      <u/>
      <sz val="12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DashDot">
        <color indexed="64"/>
      </right>
      <top/>
      <bottom/>
      <diagonal/>
    </border>
    <border>
      <left style="mediumDashDot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93">
    <xf numFmtId="0" fontId="0" fillId="0" borderId="0" xfId="0"/>
    <xf numFmtId="0" fontId="0" fillId="0" borderId="0" xfId="0" applyProtection="1"/>
    <xf numFmtId="0" fontId="2" fillId="2" borderId="1" xfId="0" applyFont="1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vertical="center"/>
    </xf>
    <xf numFmtId="0" fontId="0" fillId="0" borderId="0" xfId="0" applyBorder="1"/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19" fillId="0" borderId="2" xfId="0" applyFont="1" applyBorder="1" applyAlignment="1">
      <alignment horizontal="left" vertical="center"/>
    </xf>
    <xf numFmtId="0" fontId="20" fillId="0" borderId="2" xfId="0" applyFont="1" applyBorder="1" applyAlignment="1">
      <alignment horizontal="center" vertical="center"/>
    </xf>
    <xf numFmtId="0" fontId="20" fillId="0" borderId="2" xfId="0" applyFont="1" applyBorder="1" applyAlignment="1">
      <alignment vertical="center"/>
    </xf>
    <xf numFmtId="0" fontId="4" fillId="0" borderId="4" xfId="0" applyFont="1" applyBorder="1" applyAlignment="1">
      <alignment horizontal="center" vertical="center"/>
    </xf>
    <xf numFmtId="0" fontId="0" fillId="0" borderId="5" xfId="0" applyBorder="1"/>
    <xf numFmtId="0" fontId="21" fillId="0" borderId="6" xfId="0" applyFont="1" applyBorder="1" applyAlignment="1">
      <alignment horizontal="center" vertical="center"/>
    </xf>
    <xf numFmtId="0" fontId="0" fillId="0" borderId="6" xfId="0" applyBorder="1"/>
    <xf numFmtId="0" fontId="0" fillId="0" borderId="7" xfId="0" applyBorder="1"/>
    <xf numFmtId="31" fontId="20" fillId="0" borderId="8" xfId="0" applyNumberFormat="1" applyFont="1" applyBorder="1"/>
    <xf numFmtId="0" fontId="0" fillId="0" borderId="9" xfId="0" applyBorder="1"/>
    <xf numFmtId="0" fontId="22" fillId="0" borderId="2" xfId="0" applyFont="1" applyBorder="1" applyAlignment="1">
      <alignment vertical="center"/>
    </xf>
    <xf numFmtId="0" fontId="4" fillId="0" borderId="10" xfId="0" applyFont="1" applyBorder="1" applyAlignment="1">
      <alignment vertical="center"/>
    </xf>
    <xf numFmtId="31" fontId="20" fillId="0" borderId="0" xfId="0" applyNumberFormat="1" applyFont="1" applyBorder="1"/>
    <xf numFmtId="0" fontId="4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center" vertical="center"/>
    </xf>
    <xf numFmtId="0" fontId="20" fillId="0" borderId="0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11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4" fillId="0" borderId="11" xfId="0" applyFont="1" applyBorder="1" applyAlignment="1">
      <alignment horizontal="left" vertical="center"/>
    </xf>
    <xf numFmtId="0" fontId="5" fillId="0" borderId="2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/>
    </xf>
    <xf numFmtId="0" fontId="19" fillId="0" borderId="0" xfId="0" applyFont="1" applyBorder="1" applyAlignment="1">
      <alignment horizontal="left" vertical="center"/>
    </xf>
    <xf numFmtId="0" fontId="20" fillId="0" borderId="11" xfId="0" applyFont="1" applyBorder="1" applyAlignment="1">
      <alignment vertical="center"/>
    </xf>
    <xf numFmtId="0" fontId="20" fillId="0" borderId="2" xfId="0" applyFont="1" applyBorder="1" applyAlignment="1">
      <alignment vertical="center"/>
    </xf>
    <xf numFmtId="0" fontId="19" fillId="0" borderId="2" xfId="0" applyFont="1" applyBorder="1" applyAlignment="1">
      <alignment vertical="center" wrapText="1"/>
    </xf>
    <xf numFmtId="0" fontId="12" fillId="0" borderId="0" xfId="0" applyFont="1"/>
    <xf numFmtId="0" fontId="10" fillId="0" borderId="0" xfId="0" applyFont="1"/>
    <xf numFmtId="0" fontId="0" fillId="0" borderId="0" xfId="0" applyProtection="1">
      <protection locked="0"/>
    </xf>
    <xf numFmtId="0" fontId="8" fillId="3" borderId="2" xfId="0" applyFont="1" applyFill="1" applyBorder="1" applyAlignment="1" applyProtection="1">
      <alignment vertical="center"/>
      <protection locked="0"/>
    </xf>
    <xf numFmtId="0" fontId="8" fillId="3" borderId="2" xfId="0" applyFont="1" applyFill="1" applyBorder="1" applyAlignment="1" applyProtection="1">
      <alignment horizontal="left" vertical="center"/>
      <protection locked="0"/>
    </xf>
    <xf numFmtId="0" fontId="8" fillId="3" borderId="2" xfId="0" applyFont="1" applyFill="1" applyBorder="1" applyAlignment="1" applyProtection="1">
      <alignment horizontal="center" vertical="center"/>
      <protection locked="0"/>
    </xf>
    <xf numFmtId="178" fontId="5" fillId="0" borderId="2" xfId="0" applyNumberFormat="1" applyFont="1" applyBorder="1" applyAlignment="1">
      <alignment horizontal="right" vertical="center"/>
    </xf>
    <xf numFmtId="178" fontId="5" fillId="0" borderId="0" xfId="0" applyNumberFormat="1" applyFont="1" applyBorder="1" applyAlignment="1">
      <alignment horizontal="right" vertical="center"/>
    </xf>
    <xf numFmtId="0" fontId="18" fillId="0" borderId="0" xfId="0" applyFont="1" applyAlignment="1">
      <alignment vertical="center"/>
    </xf>
    <xf numFmtId="0" fontId="2" fillId="0" borderId="0" xfId="0" applyFont="1" applyProtection="1"/>
    <xf numFmtId="0" fontId="2" fillId="0" borderId="2" xfId="0" applyFont="1" applyBorder="1" applyProtection="1"/>
    <xf numFmtId="0" fontId="9" fillId="0" borderId="2" xfId="0" applyFont="1" applyBorder="1" applyAlignment="1" applyProtection="1">
      <alignment horizontal="center" vertical="center"/>
    </xf>
    <xf numFmtId="0" fontId="17" fillId="0" borderId="2" xfId="0" applyNumberFormat="1" applyFont="1" applyBorder="1" applyAlignment="1" applyProtection="1">
      <alignment horizontal="center" vertical="center"/>
    </xf>
    <xf numFmtId="0" fontId="12" fillId="0" borderId="2" xfId="0" applyFont="1" applyBorder="1" applyProtection="1"/>
    <xf numFmtId="0" fontId="0" fillId="0" borderId="2" xfId="0" applyBorder="1" applyAlignment="1" applyProtection="1">
      <alignment horizontal="center" vertical="center"/>
    </xf>
    <xf numFmtId="0" fontId="13" fillId="0" borderId="2" xfId="0" applyNumberFormat="1" applyFont="1" applyBorder="1" applyAlignment="1" applyProtection="1">
      <alignment horizontal="center" vertical="center"/>
    </xf>
    <xf numFmtId="177" fontId="14" fillId="0" borderId="2" xfId="0" applyNumberFormat="1" applyFont="1" applyBorder="1" applyAlignment="1" applyProtection="1">
      <alignment horizontal="center" vertical="center"/>
    </xf>
    <xf numFmtId="2" fontId="14" fillId="0" borderId="2" xfId="0" applyNumberFormat="1" applyFont="1" applyBorder="1" applyAlignment="1" applyProtection="1">
      <alignment horizontal="center" vertical="center"/>
    </xf>
    <xf numFmtId="176" fontId="14" fillId="0" borderId="2" xfId="0" applyNumberFormat="1" applyFont="1" applyBorder="1" applyAlignment="1" applyProtection="1">
      <alignment horizontal="center" vertical="center"/>
    </xf>
    <xf numFmtId="0" fontId="3" fillId="0" borderId="0" xfId="0" applyFont="1"/>
    <xf numFmtId="0" fontId="0" fillId="0" borderId="0" xfId="0" applyAlignment="1" applyProtection="1">
      <protection locked="0"/>
    </xf>
    <xf numFmtId="179" fontId="0" fillId="0" borderId="0" xfId="0" applyNumberFormat="1" applyProtection="1">
      <protection locked="0"/>
    </xf>
    <xf numFmtId="180" fontId="16" fillId="0" borderId="2" xfId="0" applyNumberFormat="1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180" fontId="16" fillId="0" borderId="0" xfId="0" applyNumberFormat="1" applyFont="1" applyBorder="1" applyAlignment="1" applyProtection="1">
      <alignment horizontal="center" vertical="center"/>
      <protection locked="0"/>
    </xf>
    <xf numFmtId="0" fontId="12" fillId="0" borderId="0" xfId="0" applyFont="1" applyBorder="1" applyProtection="1">
      <protection locked="0"/>
    </xf>
    <xf numFmtId="0" fontId="4" fillId="0" borderId="0" xfId="0" applyFont="1" applyBorder="1" applyAlignment="1">
      <alignment horizontal="right" vertical="center"/>
    </xf>
    <xf numFmtId="0" fontId="4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horizontal="left" vertical="center"/>
    </xf>
    <xf numFmtId="0" fontId="19" fillId="0" borderId="0" xfId="0" applyFont="1" applyBorder="1" applyAlignment="1">
      <alignment vertical="center" wrapText="1"/>
    </xf>
    <xf numFmtId="0" fontId="19" fillId="0" borderId="0" xfId="0" applyFont="1" applyBorder="1" applyAlignment="1">
      <alignment horizontal="right" vertical="center"/>
    </xf>
    <xf numFmtId="0" fontId="20" fillId="0" borderId="0" xfId="0" applyFont="1" applyBorder="1" applyAlignment="1">
      <alignment horizontal="right" vertical="center"/>
    </xf>
    <xf numFmtId="0" fontId="0" fillId="0" borderId="0" xfId="0" applyAlignment="1">
      <alignment vertical="center"/>
    </xf>
    <xf numFmtId="0" fontId="2" fillId="3" borderId="2" xfId="0" applyFont="1" applyFill="1" applyBorder="1" applyAlignment="1" applyProtection="1">
      <alignment horizontal="center" vertical="center"/>
      <protection locked="0"/>
    </xf>
    <xf numFmtId="0" fontId="28" fillId="0" borderId="15" xfId="0" applyFont="1" applyBorder="1" applyAlignment="1">
      <alignment vertical="center"/>
    </xf>
    <xf numFmtId="0" fontId="28" fillId="0" borderId="0" xfId="0" applyFont="1" applyBorder="1" applyAlignment="1">
      <alignment vertical="center"/>
    </xf>
    <xf numFmtId="0" fontId="29" fillId="0" borderId="0" xfId="0" applyFont="1" applyAlignment="1">
      <alignment vertical="top"/>
    </xf>
    <xf numFmtId="0" fontId="0" fillId="0" borderId="15" xfId="0" applyBorder="1" applyAlignment="1">
      <alignment vertical="center"/>
    </xf>
    <xf numFmtId="0" fontId="0" fillId="0" borderId="0" xfId="0" applyBorder="1" applyAlignment="1">
      <alignment vertical="center"/>
    </xf>
    <xf numFmtId="0" fontId="30" fillId="0" borderId="2" xfId="0" applyFont="1" applyBorder="1" applyAlignment="1">
      <alignment horizontal="center" vertical="center"/>
    </xf>
    <xf numFmtId="0" fontId="31" fillId="0" borderId="2" xfId="0" applyFont="1" applyBorder="1" applyAlignment="1" applyProtection="1">
      <alignment horizontal="center" vertical="center"/>
      <protection locked="0"/>
    </xf>
    <xf numFmtId="0" fontId="31" fillId="0" borderId="2" xfId="0" applyFont="1" applyBorder="1" applyAlignment="1">
      <alignment horizontal="center" vertical="center"/>
    </xf>
    <xf numFmtId="0" fontId="31" fillId="0" borderId="15" xfId="0" applyFont="1" applyBorder="1" applyAlignment="1">
      <alignment vertical="center"/>
    </xf>
    <xf numFmtId="0" fontId="31" fillId="0" borderId="16" xfId="0" applyFont="1" applyBorder="1" applyAlignment="1">
      <alignment vertical="center"/>
    </xf>
    <xf numFmtId="0" fontId="31" fillId="0" borderId="5" xfId="0" applyFont="1" applyBorder="1" applyAlignment="1">
      <alignment vertical="center"/>
    </xf>
    <xf numFmtId="0" fontId="31" fillId="0" borderId="6" xfId="0" applyFont="1" applyBorder="1" applyAlignment="1">
      <alignment vertical="center"/>
    </xf>
    <xf numFmtId="0" fontId="31" fillId="0" borderId="7" xfId="0" applyFont="1" applyBorder="1" applyAlignment="1">
      <alignment vertical="center"/>
    </xf>
    <xf numFmtId="0" fontId="31" fillId="0" borderId="8" xfId="0" applyFont="1" applyBorder="1" applyAlignment="1">
      <alignment vertical="center"/>
    </xf>
    <xf numFmtId="0" fontId="31" fillId="0" borderId="0" xfId="0" applyFont="1" applyBorder="1" applyAlignment="1">
      <alignment vertical="center"/>
    </xf>
    <xf numFmtId="0" fontId="31" fillId="0" borderId="9" xfId="0" applyFont="1" applyBorder="1" applyAlignment="1">
      <alignment vertical="center"/>
    </xf>
    <xf numFmtId="0" fontId="31" fillId="0" borderId="2" xfId="0" applyFont="1" applyBorder="1" applyAlignment="1" applyProtection="1">
      <alignment vertical="center"/>
      <protection locked="0"/>
    </xf>
    <xf numFmtId="0" fontId="31" fillId="0" borderId="13" xfId="0" applyFont="1" applyBorder="1" applyAlignment="1">
      <alignment vertical="center"/>
    </xf>
    <xf numFmtId="0" fontId="31" fillId="0" borderId="4" xfId="0" applyFont="1" applyBorder="1" applyAlignment="1">
      <alignment vertical="center"/>
    </xf>
    <xf numFmtId="0" fontId="31" fillId="0" borderId="10" xfId="0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0" fontId="31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vertical="center"/>
    </xf>
    <xf numFmtId="0" fontId="31" fillId="0" borderId="6" xfId="0" applyFont="1" applyBorder="1" applyAlignment="1">
      <alignment horizontal="left" vertical="center"/>
    </xf>
    <xf numFmtId="0" fontId="31" fillId="0" borderId="2" xfId="0" applyFont="1" applyBorder="1" applyAlignment="1" applyProtection="1">
      <alignment horizontal="left" vertical="center"/>
      <protection locked="0"/>
    </xf>
    <xf numFmtId="49" fontId="0" fillId="0" borderId="0" xfId="0" applyNumberFormat="1"/>
    <xf numFmtId="49" fontId="2" fillId="0" borderId="2" xfId="0" applyNumberFormat="1" applyFont="1" applyBorder="1" applyProtection="1"/>
    <xf numFmtId="49" fontId="2" fillId="0" borderId="0" xfId="0" applyNumberFormat="1" applyFont="1" applyProtection="1"/>
    <xf numFmtId="0" fontId="2" fillId="5" borderId="0" xfId="0" applyFont="1" applyFill="1" applyProtection="1"/>
    <xf numFmtId="49" fontId="2" fillId="5" borderId="0" xfId="0" applyNumberFormat="1" applyFont="1" applyFill="1" applyProtection="1"/>
    <xf numFmtId="0" fontId="27" fillId="0" borderId="0" xfId="0" applyFont="1" applyAlignment="1" applyProtection="1">
      <alignment horizontal="right"/>
      <protection locked="0"/>
    </xf>
    <xf numFmtId="22" fontId="2" fillId="0" borderId="1" xfId="0" applyNumberFormat="1" applyFont="1" applyBorder="1" applyProtection="1"/>
    <xf numFmtId="0" fontId="2" fillId="0" borderId="1" xfId="0" applyFont="1" applyBorder="1" applyProtection="1"/>
    <xf numFmtId="49" fontId="2" fillId="0" borderId="1" xfId="0" applyNumberFormat="1" applyFont="1" applyBorder="1" applyProtection="1"/>
    <xf numFmtId="22" fontId="2" fillId="4" borderId="2" xfId="0" applyNumberFormat="1" applyFont="1" applyFill="1" applyBorder="1" applyProtection="1"/>
    <xf numFmtId="0" fontId="2" fillId="4" borderId="2" xfId="0" applyFont="1" applyFill="1" applyBorder="1" applyProtection="1"/>
    <xf numFmtId="49" fontId="2" fillId="4" borderId="2" xfId="0" applyNumberFormat="1" applyFont="1" applyFill="1" applyBorder="1" applyProtection="1"/>
    <xf numFmtId="178" fontId="5" fillId="0" borderId="2" xfId="0" applyNumberFormat="1" applyFont="1" applyBorder="1" applyAlignment="1" applyProtection="1">
      <alignment horizontal="right" vertical="center"/>
    </xf>
    <xf numFmtId="22" fontId="2" fillId="0" borderId="2" xfId="0" applyNumberFormat="1" applyFont="1" applyBorder="1" applyProtection="1"/>
    <xf numFmtId="0" fontId="3" fillId="0" borderId="0" xfId="0" applyFont="1" applyProtection="1">
      <protection locked="0"/>
    </xf>
    <xf numFmtId="0" fontId="2" fillId="4" borderId="1" xfId="0" applyFont="1" applyFill="1" applyBorder="1" applyAlignment="1" applyProtection="1">
      <alignment horizontal="center" vertical="center"/>
    </xf>
    <xf numFmtId="0" fontId="2" fillId="4" borderId="1" xfId="0" applyFont="1" applyFill="1" applyBorder="1" applyAlignment="1" applyProtection="1">
      <alignment vertical="center"/>
    </xf>
    <xf numFmtId="0" fontId="2" fillId="4" borderId="0" xfId="0" applyFont="1" applyFill="1" applyProtection="1"/>
    <xf numFmtId="49" fontId="2" fillId="4" borderId="0" xfId="0" applyNumberFormat="1" applyFont="1" applyFill="1" applyProtection="1"/>
    <xf numFmtId="0" fontId="33" fillId="4" borderId="0" xfId="0" applyFont="1" applyFill="1" applyProtection="1"/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wrapText="1"/>
    </xf>
    <xf numFmtId="0" fontId="23" fillId="0" borderId="5" xfId="0" applyFont="1" applyBorder="1"/>
    <xf numFmtId="0" fontId="3" fillId="0" borderId="6" xfId="0" applyFont="1" applyBorder="1"/>
    <xf numFmtId="0" fontId="9" fillId="0" borderId="8" xfId="0" applyFont="1" applyBorder="1" applyAlignment="1" applyProtection="1">
      <alignment horizontal="center" vertical="center"/>
    </xf>
    <xf numFmtId="0" fontId="12" fillId="0" borderId="8" xfId="0" applyFont="1" applyBorder="1" applyProtection="1"/>
    <xf numFmtId="0" fontId="0" fillId="0" borderId="0" xfId="0" applyBorder="1" applyProtection="1"/>
    <xf numFmtId="0" fontId="0" fillId="0" borderId="9" xfId="0" applyBorder="1" applyProtection="1"/>
    <xf numFmtId="0" fontId="0" fillId="0" borderId="8" xfId="0" applyBorder="1" applyProtection="1"/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 applyProtection="1">
      <alignment horizontal="left" vertical="center"/>
      <protection locked="0"/>
    </xf>
    <xf numFmtId="0" fontId="31" fillId="0" borderId="0" xfId="0" applyFont="1" applyBorder="1" applyAlignment="1">
      <alignment horizontal="center" vertical="center"/>
    </xf>
    <xf numFmtId="0" fontId="31" fillId="0" borderId="0" xfId="0" applyFont="1" applyBorder="1" applyAlignment="1" applyProtection="1">
      <alignment vertical="center"/>
      <protection locked="0"/>
    </xf>
    <xf numFmtId="49" fontId="3" fillId="0" borderId="0" xfId="0" applyNumberFormat="1" applyFont="1" applyBorder="1" applyAlignment="1">
      <alignment wrapText="1"/>
    </xf>
    <xf numFmtId="0" fontId="2" fillId="0" borderId="2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22" fontId="2" fillId="0" borderId="2" xfId="0" applyNumberFormat="1" applyFont="1" applyBorder="1" applyAlignment="1" applyProtection="1">
      <alignment horizontal="center"/>
    </xf>
    <xf numFmtId="22" fontId="35" fillId="0" borderId="2" xfId="0" applyNumberFormat="1" applyFont="1" applyBorder="1" applyProtection="1"/>
    <xf numFmtId="0" fontId="3" fillId="0" borderId="2" xfId="0" applyFont="1" applyBorder="1" applyAlignment="1">
      <alignment vertical="center"/>
    </xf>
    <xf numFmtId="182" fontId="0" fillId="0" borderId="0" xfId="0" applyNumberFormat="1"/>
    <xf numFmtId="0" fontId="15" fillId="2" borderId="1" xfId="0" applyFont="1" applyFill="1" applyBorder="1" applyAlignment="1" applyProtection="1">
      <alignment horizontal="center" vertical="center"/>
    </xf>
    <xf numFmtId="49" fontId="15" fillId="2" borderId="1" xfId="0" applyNumberFormat="1" applyFont="1" applyFill="1" applyBorder="1" applyAlignment="1" applyProtection="1">
      <alignment horizontal="center" vertical="center"/>
    </xf>
    <xf numFmtId="182" fontId="15" fillId="2" borderId="1" xfId="0" applyNumberFormat="1" applyFont="1" applyFill="1" applyBorder="1" applyAlignment="1" applyProtection="1">
      <alignment horizontal="center" vertical="center"/>
    </xf>
    <xf numFmtId="49" fontId="0" fillId="0" borderId="0" xfId="0" applyNumberFormat="1" applyBorder="1"/>
    <xf numFmtId="0" fontId="31" fillId="0" borderId="0" xfId="0" applyFont="1" applyBorder="1" applyAlignment="1" applyProtection="1">
      <alignment horizontal="center" vertical="center"/>
      <protection locked="0"/>
    </xf>
    <xf numFmtId="49" fontId="3" fillId="0" borderId="0" xfId="0" applyNumberFormat="1" applyFont="1" applyBorder="1"/>
    <xf numFmtId="22" fontId="2" fillId="6" borderId="2" xfId="0" applyNumberFormat="1" applyFont="1" applyFill="1" applyBorder="1" applyProtection="1"/>
    <xf numFmtId="0" fontId="2" fillId="6" borderId="2" xfId="0" applyFont="1" applyFill="1" applyBorder="1" applyProtection="1"/>
    <xf numFmtId="0" fontId="0" fillId="6" borderId="0" xfId="0" applyFill="1"/>
    <xf numFmtId="49" fontId="2" fillId="6" borderId="2" xfId="0" applyNumberFormat="1" applyFont="1" applyFill="1" applyBorder="1" applyProtection="1"/>
    <xf numFmtId="0" fontId="27" fillId="0" borderId="0" xfId="0" applyNumberFormat="1" applyFont="1" applyAlignment="1" applyProtection="1">
      <alignment horizontal="left"/>
      <protection locked="0"/>
    </xf>
    <xf numFmtId="0" fontId="36" fillId="0" borderId="0" xfId="0" applyFont="1" applyAlignment="1">
      <alignment vertical="center"/>
    </xf>
    <xf numFmtId="0" fontId="0" fillId="0" borderId="2" xfId="0" applyBorder="1" applyProtection="1">
      <protection locked="0"/>
    </xf>
    <xf numFmtId="0" fontId="15" fillId="0" borderId="5" xfId="0" applyFont="1" applyBorder="1"/>
    <xf numFmtId="0" fontId="0" fillId="0" borderId="6" xfId="0" applyBorder="1" applyAlignment="1">
      <alignment vertical="center"/>
    </xf>
    <xf numFmtId="0" fontId="3" fillId="0" borderId="6" xfId="0" applyFont="1" applyBorder="1" applyAlignment="1" applyProtection="1">
      <alignment horizontal="right" vertical="center"/>
      <protection locked="0"/>
    </xf>
    <xf numFmtId="0" fontId="0" fillId="0" borderId="6" xfId="0" applyBorder="1" applyAlignment="1" applyProtection="1">
      <alignment vertical="center"/>
      <protection locked="0"/>
    </xf>
    <xf numFmtId="0" fontId="3" fillId="0" borderId="6" xfId="0" applyFont="1" applyBorder="1" applyAlignment="1" applyProtection="1">
      <alignment vertical="center"/>
      <protection locked="0"/>
    </xf>
    <xf numFmtId="0" fontId="3" fillId="0" borderId="7" xfId="0" applyFont="1" applyBorder="1" applyAlignment="1" applyProtection="1">
      <alignment vertical="center"/>
      <protection locked="0"/>
    </xf>
    <xf numFmtId="0" fontId="3" fillId="0" borderId="2" xfId="0" applyFont="1" applyBorder="1" applyAlignment="1" applyProtection="1">
      <alignment horizontal="center"/>
      <protection locked="0"/>
    </xf>
    <xf numFmtId="49" fontId="3" fillId="0" borderId="2" xfId="0" applyNumberFormat="1" applyFont="1" applyBorder="1" applyAlignment="1" applyProtection="1">
      <alignment horizontal="center"/>
      <protection locked="0"/>
    </xf>
    <xf numFmtId="0" fontId="15" fillId="0" borderId="5" xfId="0" applyFont="1" applyBorder="1" applyAlignment="1" applyProtection="1">
      <alignment horizontal="center" vertical="center"/>
    </xf>
    <xf numFmtId="0" fontId="15" fillId="0" borderId="6" xfId="0" applyFont="1" applyBorder="1" applyAlignment="1" applyProtection="1">
      <alignment horizontal="center" vertical="center"/>
    </xf>
    <xf numFmtId="0" fontId="15" fillId="0" borderId="7" xfId="0" applyFont="1" applyBorder="1" applyAlignment="1" applyProtection="1">
      <alignment horizontal="center" vertical="center"/>
    </xf>
    <xf numFmtId="0" fontId="16" fillId="0" borderId="11" xfId="0" applyFont="1" applyBorder="1" applyAlignment="1" applyProtection="1">
      <alignment horizontal="center"/>
    </xf>
    <xf numFmtId="0" fontId="16" fillId="0" borderId="12" xfId="0" applyFont="1" applyBorder="1" applyAlignment="1" applyProtection="1">
      <alignment horizontal="center"/>
    </xf>
    <xf numFmtId="0" fontId="16" fillId="0" borderId="3" xfId="0" applyFont="1" applyBorder="1" applyAlignment="1" applyProtection="1">
      <alignment horizontal="center"/>
    </xf>
    <xf numFmtId="0" fontId="3" fillId="0" borderId="12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12" xfId="0" applyBorder="1" applyAlignment="1" applyProtection="1">
      <alignment horizontal="left" vertical="center"/>
      <protection locked="0"/>
    </xf>
    <xf numFmtId="0" fontId="3" fillId="0" borderId="11" xfId="0" applyFont="1" applyBorder="1" applyAlignment="1" applyProtection="1">
      <alignment horizontal="center"/>
      <protection locked="0"/>
    </xf>
    <xf numFmtId="0" fontId="3" fillId="0" borderId="3" xfId="0" applyFont="1" applyBorder="1" applyAlignment="1" applyProtection="1">
      <alignment horizontal="center"/>
      <protection locked="0"/>
    </xf>
    <xf numFmtId="22" fontId="0" fillId="0" borderId="11" xfId="0" applyNumberFormat="1" applyBorder="1" applyAlignment="1" applyProtection="1">
      <alignment horizontal="center"/>
      <protection locked="0"/>
    </xf>
    <xf numFmtId="22" fontId="0" fillId="0" borderId="3" xfId="0" applyNumberFormat="1" applyBorder="1" applyAlignment="1" applyProtection="1">
      <alignment horizontal="center"/>
      <protection locked="0"/>
    </xf>
    <xf numFmtId="0" fontId="16" fillId="0" borderId="11" xfId="0" applyFont="1" applyBorder="1" applyAlignment="1" applyProtection="1">
      <alignment horizontal="center" vertical="center" wrapText="1"/>
      <protection locked="0"/>
    </xf>
    <xf numFmtId="0" fontId="16" fillId="0" borderId="3" xfId="0" applyFont="1" applyBorder="1" applyAlignment="1" applyProtection="1">
      <alignment horizontal="center" vertical="center" wrapText="1"/>
      <protection locked="0"/>
    </xf>
    <xf numFmtId="0" fontId="16" fillId="0" borderId="0" xfId="0" applyFont="1" applyBorder="1" applyAlignment="1" applyProtection="1">
      <alignment horizontal="center" vertical="center" wrapText="1"/>
      <protection locked="0"/>
    </xf>
    <xf numFmtId="0" fontId="20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8" fillId="3" borderId="2" xfId="0" applyFont="1" applyFill="1" applyBorder="1" applyAlignment="1" applyProtection="1">
      <alignment horizontal="center" vertical="center"/>
      <protection locked="0"/>
    </xf>
    <xf numFmtId="31" fontId="5" fillId="4" borderId="4" xfId="0" applyNumberFormat="1" applyFont="1" applyFill="1" applyBorder="1" applyAlignment="1">
      <alignment horizontal="left" wrapText="1"/>
    </xf>
    <xf numFmtId="31" fontId="5" fillId="4" borderId="4" xfId="0" applyNumberFormat="1" applyFont="1" applyFill="1" applyBorder="1" applyAlignment="1">
      <alignment horizontal="left"/>
    </xf>
    <xf numFmtId="0" fontId="21" fillId="0" borderId="6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4" xfId="0" applyFont="1" applyBorder="1" applyAlignment="1">
      <alignment horizontal="center"/>
    </xf>
    <xf numFmtId="0" fontId="20" fillId="0" borderId="10" xfId="0" applyFont="1" applyBorder="1" applyAlignment="1">
      <alignment horizontal="center"/>
    </xf>
    <xf numFmtId="0" fontId="4" fillId="3" borderId="11" xfId="0" applyFont="1" applyFill="1" applyBorder="1" applyAlignment="1" applyProtection="1">
      <alignment horizontal="center" vertical="center"/>
      <protection locked="0"/>
    </xf>
    <xf numFmtId="0" fontId="4" fillId="3" borderId="12" xfId="0" applyFont="1" applyFill="1" applyBorder="1" applyAlignment="1" applyProtection="1">
      <alignment horizontal="center" vertical="center"/>
      <protection locked="0"/>
    </xf>
    <xf numFmtId="0" fontId="4" fillId="3" borderId="3" xfId="0" applyFont="1" applyFill="1" applyBorder="1" applyAlignment="1" applyProtection="1">
      <alignment horizontal="center" vertical="center"/>
      <protection locked="0"/>
    </xf>
    <xf numFmtId="0" fontId="20" fillId="0" borderId="11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2" fillId="3" borderId="2" xfId="0" applyFont="1" applyFill="1" applyBorder="1" applyAlignment="1" applyProtection="1">
      <alignment horizontal="center" vertical="center"/>
      <protection locked="0"/>
    </xf>
    <xf numFmtId="0" fontId="5" fillId="3" borderId="2" xfId="0" applyFont="1" applyFill="1" applyBorder="1" applyAlignment="1" applyProtection="1">
      <alignment horizontal="center" vertical="center"/>
      <protection locked="0"/>
    </xf>
    <xf numFmtId="0" fontId="2" fillId="3" borderId="11" xfId="0" applyFont="1" applyFill="1" applyBorder="1" applyAlignment="1" applyProtection="1">
      <alignment horizontal="left" vertical="center"/>
      <protection locked="0"/>
    </xf>
    <xf numFmtId="0" fontId="4" fillId="3" borderId="12" xfId="0" applyFont="1" applyFill="1" applyBorder="1" applyAlignment="1" applyProtection="1">
      <alignment horizontal="left" vertical="center"/>
      <protection locked="0"/>
    </xf>
    <xf numFmtId="0" fontId="4" fillId="0" borderId="1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/>
      <protection locked="0"/>
    </xf>
    <xf numFmtId="49" fontId="5" fillId="3" borderId="2" xfId="0" applyNumberFormat="1" applyFont="1" applyFill="1" applyBorder="1" applyAlignment="1" applyProtection="1">
      <alignment horizontal="center" vertical="center"/>
      <protection locked="0"/>
    </xf>
    <xf numFmtId="0" fontId="4" fillId="0" borderId="11" xfId="0" applyFont="1" applyBorder="1" applyAlignment="1">
      <alignment horizontal="center" vertical="center"/>
    </xf>
    <xf numFmtId="0" fontId="4" fillId="0" borderId="11" xfId="0" applyFont="1" applyBorder="1" applyAlignment="1">
      <alignment horizontal="left" vertical="center"/>
    </xf>
    <xf numFmtId="0" fontId="4" fillId="0" borderId="12" xfId="0" applyFont="1" applyBorder="1" applyAlignment="1">
      <alignment horizontal="left" vertical="center"/>
    </xf>
    <xf numFmtId="2" fontId="7" fillId="0" borderId="11" xfId="0" applyNumberFormat="1" applyFont="1" applyBorder="1" applyAlignment="1">
      <alignment horizontal="center" vertical="center"/>
    </xf>
    <xf numFmtId="2" fontId="7" fillId="0" borderId="12" xfId="0" applyNumberFormat="1" applyFont="1" applyBorder="1" applyAlignment="1">
      <alignment horizontal="center" vertical="center"/>
    </xf>
    <xf numFmtId="2" fontId="7" fillId="0" borderId="3" xfId="0" applyNumberFormat="1" applyFont="1" applyBorder="1" applyAlignment="1">
      <alignment horizontal="center" vertical="center"/>
    </xf>
    <xf numFmtId="178" fontId="10" fillId="0" borderId="11" xfId="0" applyNumberFormat="1" applyFont="1" applyBorder="1" applyAlignment="1">
      <alignment horizontal="center" vertical="center"/>
    </xf>
    <xf numFmtId="178" fontId="10" fillId="0" borderId="3" xfId="0" applyNumberFormat="1" applyFont="1" applyBorder="1" applyAlignment="1">
      <alignment horizontal="center" vertical="center"/>
    </xf>
    <xf numFmtId="1" fontId="4" fillId="0" borderId="11" xfId="0" applyNumberFormat="1" applyFont="1" applyBorder="1" applyAlignment="1">
      <alignment horizontal="center" vertical="center"/>
    </xf>
    <xf numFmtId="1" fontId="4" fillId="0" borderId="3" xfId="0" applyNumberFormat="1" applyFont="1" applyBorder="1" applyAlignment="1">
      <alignment horizontal="center" vertical="center"/>
    </xf>
    <xf numFmtId="0" fontId="2" fillId="3" borderId="11" xfId="0" applyFont="1" applyFill="1" applyBorder="1" applyAlignment="1" applyProtection="1">
      <alignment horizontal="center" vertical="center"/>
      <protection locked="0"/>
    </xf>
    <xf numFmtId="0" fontId="4" fillId="0" borderId="1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78" fontId="5" fillId="0" borderId="11" xfId="0" applyNumberFormat="1" applyFont="1" applyBorder="1" applyAlignment="1" applyProtection="1">
      <alignment horizontal="center" vertical="center"/>
    </xf>
    <xf numFmtId="178" fontId="4" fillId="0" borderId="3" xfId="0" applyNumberFormat="1" applyFont="1" applyBorder="1" applyAlignment="1" applyProtection="1">
      <alignment horizontal="center" vertical="center"/>
    </xf>
    <xf numFmtId="0" fontId="4" fillId="0" borderId="2" xfId="0" applyFont="1" applyBorder="1" applyAlignment="1" applyProtection="1">
      <alignment horizontal="center" vertical="center"/>
    </xf>
    <xf numFmtId="0" fontId="4" fillId="3" borderId="2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9" fillId="0" borderId="11" xfId="0" applyFont="1" applyBorder="1" applyAlignment="1">
      <alignment horizontal="left" vertical="center"/>
    </xf>
    <xf numFmtId="0" fontId="19" fillId="0" borderId="3" xfId="0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9" xfId="0" applyBorder="1" applyAlignment="1">
      <alignment horizontal="center" vertical="top"/>
    </xf>
    <xf numFmtId="0" fontId="0" fillId="0" borderId="1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10" xfId="0" applyBorder="1" applyAlignment="1">
      <alignment horizontal="center" vertical="top"/>
    </xf>
    <xf numFmtId="178" fontId="5" fillId="0" borderId="2" xfId="0" applyNumberFormat="1" applyFont="1" applyBorder="1" applyAlignment="1" applyProtection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4" fillId="3" borderId="6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  <protection locked="0"/>
    </xf>
    <xf numFmtId="0" fontId="20" fillId="0" borderId="14" xfId="0" applyFont="1" applyBorder="1" applyAlignment="1">
      <alignment horizontal="center" vertical="center"/>
    </xf>
    <xf numFmtId="0" fontId="8" fillId="0" borderId="11" xfId="0" applyFont="1" applyBorder="1" applyAlignment="1" applyProtection="1">
      <alignment horizontal="center" vertical="center"/>
      <protection locked="0"/>
    </xf>
    <xf numFmtId="0" fontId="8" fillId="0" borderId="12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4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31" fontId="5" fillId="0" borderId="0" xfId="0" applyNumberFormat="1" applyFont="1" applyBorder="1" applyAlignment="1">
      <alignment horizontal="left" wrapText="1"/>
    </xf>
    <xf numFmtId="31" fontId="5" fillId="0" borderId="0" xfId="0" applyNumberFormat="1" applyFont="1" applyBorder="1" applyAlignment="1">
      <alignment horizontal="left"/>
    </xf>
    <xf numFmtId="0" fontId="5" fillId="0" borderId="0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49" fontId="10" fillId="4" borderId="0" xfId="0" applyNumberFormat="1" applyFont="1" applyFill="1" applyBorder="1" applyAlignment="1">
      <alignment horizontal="center" vertical="center"/>
    </xf>
    <xf numFmtId="0" fontId="5" fillId="4" borderId="0" xfId="0" applyNumberFormat="1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178" fontId="5" fillId="0" borderId="0" xfId="0" applyNumberFormat="1" applyFont="1" applyBorder="1" applyAlignment="1">
      <alignment horizontal="right" vertical="center"/>
    </xf>
    <xf numFmtId="178" fontId="4" fillId="0" borderId="0" xfId="0" applyNumberFormat="1" applyFont="1" applyBorder="1" applyAlignment="1">
      <alignment horizontal="right" vertical="center"/>
    </xf>
    <xf numFmtId="0" fontId="19" fillId="0" borderId="0" xfId="0" applyFont="1" applyBorder="1" applyAlignment="1">
      <alignment horizontal="right" vertical="center"/>
    </xf>
    <xf numFmtId="0" fontId="3" fillId="0" borderId="11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49" fontId="3" fillId="0" borderId="11" xfId="0" applyNumberFormat="1" applyFont="1" applyBorder="1" applyAlignment="1">
      <alignment horizontal="left" vertical="center"/>
    </xf>
    <xf numFmtId="49" fontId="0" fillId="0" borderId="1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0" fontId="32" fillId="0" borderId="8" xfId="0" applyFont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32" fillId="0" borderId="9" xfId="0" applyFont="1" applyBorder="1" applyAlignment="1">
      <alignment horizontal="center" vertical="center"/>
    </xf>
    <xf numFmtId="0" fontId="31" fillId="0" borderId="6" xfId="0" applyFont="1" applyBorder="1" applyAlignment="1">
      <alignment horizontal="center" vertical="center"/>
    </xf>
    <xf numFmtId="0" fontId="25" fillId="0" borderId="0" xfId="0" applyFont="1" applyAlignment="1">
      <alignment horizontal="right" vertical="center"/>
    </xf>
    <xf numFmtId="0" fontId="25" fillId="0" borderId="0" xfId="0" applyFont="1" applyAlignment="1">
      <alignment horizontal="center" vertical="center"/>
    </xf>
    <xf numFmtId="181" fontId="0" fillId="0" borderId="0" xfId="0" applyNumberFormat="1" applyBorder="1" applyAlignment="1">
      <alignment horizontal="right" vertical="center"/>
    </xf>
    <xf numFmtId="181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7" fillId="0" borderId="8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/>
    </xf>
    <xf numFmtId="0" fontId="27" fillId="0" borderId="9" xfId="0" applyFont="1" applyFill="1" applyBorder="1" applyAlignment="1">
      <alignment horizontal="center" vertical="center"/>
    </xf>
    <xf numFmtId="0" fontId="31" fillId="0" borderId="11" xfId="0" applyFont="1" applyBorder="1" applyAlignment="1" applyProtection="1">
      <alignment horizontal="center" vertical="center"/>
      <protection locked="0"/>
    </xf>
    <xf numFmtId="0" fontId="31" fillId="0" borderId="3" xfId="0" applyFont="1" applyBorder="1" applyAlignment="1" applyProtection="1">
      <alignment horizontal="center" vertical="center"/>
      <protection locked="0"/>
    </xf>
    <xf numFmtId="49" fontId="31" fillId="0" borderId="2" xfId="0" applyNumberFormat="1" applyFont="1" applyBorder="1" applyAlignment="1" applyProtection="1">
      <alignment horizontal="center" vertical="center"/>
      <protection locked="0"/>
    </xf>
    <xf numFmtId="49" fontId="3" fillId="0" borderId="0" xfId="0" applyNumberFormat="1" applyFont="1" applyBorder="1"/>
    <xf numFmtId="49" fontId="0" fillId="0" borderId="0" xfId="0" applyNumberFormat="1" applyBorder="1"/>
    <xf numFmtId="0" fontId="31" fillId="0" borderId="0" xfId="0" applyFont="1" applyBorder="1" applyAlignment="1" applyProtection="1">
      <alignment horizontal="center" vertical="center"/>
      <protection locked="0"/>
    </xf>
    <xf numFmtId="49" fontId="31" fillId="0" borderId="0" xfId="0" applyNumberFormat="1" applyFont="1" applyBorder="1" applyAlignment="1" applyProtection="1">
      <alignment horizontal="center" vertical="center"/>
      <protection locked="0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3</xdr:col>
          <xdr:colOff>381000</xdr:colOff>
          <xdr:row>8</xdr:row>
          <xdr:rowOff>19050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647700</xdr:colOff>
          <xdr:row>5</xdr:row>
          <xdr:rowOff>38100</xdr:rowOff>
        </xdr:from>
        <xdr:to>
          <xdr:col>6</xdr:col>
          <xdr:colOff>9525</xdr:colOff>
          <xdr:row>8</xdr:row>
          <xdr:rowOff>76200</xdr:rowOff>
        </xdr:to>
        <xdr:sp macro="" textlink="">
          <xdr:nvSpPr>
            <xdr:cNvPr id="7170" name="Object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38100</xdr:colOff>
          <xdr:row>14</xdr:row>
          <xdr:rowOff>57150</xdr:rowOff>
        </xdr:from>
        <xdr:to>
          <xdr:col>30</xdr:col>
          <xdr:colOff>657225</xdr:colOff>
          <xdr:row>15</xdr:row>
          <xdr:rowOff>142875</xdr:rowOff>
        </xdr:to>
        <xdr:sp macro="" textlink="">
          <xdr:nvSpPr>
            <xdr:cNvPr id="3122" name="CommandButton1" hidden="1">
              <a:extLst>
                <a:ext uri="{63B3BB69-23CF-44E3-9099-C40C66FF867C}">
                  <a14:compatExt spid="_x0000_s3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85725</xdr:colOff>
          <xdr:row>14</xdr:row>
          <xdr:rowOff>38100</xdr:rowOff>
        </xdr:from>
        <xdr:to>
          <xdr:col>32</xdr:col>
          <xdr:colOff>0</xdr:colOff>
          <xdr:row>15</xdr:row>
          <xdr:rowOff>152400</xdr:rowOff>
        </xdr:to>
        <xdr:sp macro="" textlink="">
          <xdr:nvSpPr>
            <xdr:cNvPr id="3123" name="CommandButton4" hidden="1">
              <a:extLst>
                <a:ext uri="{63B3BB69-23CF-44E3-9099-C40C66FF867C}">
                  <a14:compatExt spid="_x0000_s3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85725</xdr:colOff>
          <xdr:row>14</xdr:row>
          <xdr:rowOff>47625</xdr:rowOff>
        </xdr:from>
        <xdr:to>
          <xdr:col>33</xdr:col>
          <xdr:colOff>514350</xdr:colOff>
          <xdr:row>15</xdr:row>
          <xdr:rowOff>133350</xdr:rowOff>
        </xdr:to>
        <xdr:sp macro="" textlink="">
          <xdr:nvSpPr>
            <xdr:cNvPr id="3124" name="CommandButton5" hidden="1">
              <a:extLst>
                <a:ext uri="{63B3BB69-23CF-44E3-9099-C40C66FF867C}">
                  <a14:compatExt spid="_x0000_s3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466725</xdr:colOff>
          <xdr:row>14</xdr:row>
          <xdr:rowOff>66675</xdr:rowOff>
        </xdr:from>
        <xdr:to>
          <xdr:col>36</xdr:col>
          <xdr:colOff>95250</xdr:colOff>
          <xdr:row>15</xdr:row>
          <xdr:rowOff>152400</xdr:rowOff>
        </xdr:to>
        <xdr:sp macro="" textlink="">
          <xdr:nvSpPr>
            <xdr:cNvPr id="3125" name="CommandButton2" hidden="1">
              <a:extLst>
                <a:ext uri="{63B3BB69-23CF-44E3-9099-C40C66FF867C}">
                  <a14:compatExt spid="_x0000_s3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10</xdr:row>
          <xdr:rowOff>66675</xdr:rowOff>
        </xdr:from>
        <xdr:to>
          <xdr:col>11</xdr:col>
          <xdr:colOff>542925</xdr:colOff>
          <xdr:row>11</xdr:row>
          <xdr:rowOff>295275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增加顺序号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10</xdr:row>
          <xdr:rowOff>76200</xdr:rowOff>
        </xdr:from>
        <xdr:to>
          <xdr:col>13</xdr:col>
          <xdr:colOff>419100</xdr:colOff>
          <xdr:row>11</xdr:row>
          <xdr:rowOff>304800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打印并保存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41.10.181\&#26032;&#21152;&#21367;%20(i)\qyq\&#39564;&#31918;&#35760;&#24405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录入界面"/>
      <sheetName val="detail"/>
      <sheetName val="暂存表"/>
    </sheetNames>
    <sheetDataSet>
      <sheetData sheetId="0"/>
      <sheetData sheetId="1"/>
      <sheetData sheetId="2">
        <row r="2">
          <cell r="B2">
            <v>43166</v>
          </cell>
          <cell r="D2">
            <v>30</v>
          </cell>
          <cell r="E2">
            <v>1.5</v>
          </cell>
          <cell r="F2">
            <v>8</v>
          </cell>
          <cell r="G2">
            <v>1</v>
          </cell>
          <cell r="H2">
            <v>3.5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opLeftCell="A2" workbookViewId="0">
      <selection activeCell="O16" sqref="O15:O16"/>
    </sheetView>
  </sheetViews>
  <sheetFormatPr defaultRowHeight="14.25" x14ac:dyDescent="0.15"/>
  <cols>
    <col min="1" max="1" width="7.75" style="73" customWidth="1"/>
    <col min="2" max="2" width="6.75" style="73" customWidth="1"/>
    <col min="3" max="3" width="6.375" style="73" customWidth="1"/>
    <col min="4" max="16384" width="9" style="73"/>
  </cols>
  <sheetData>
    <row r="1" spans="1:1" ht="409.5" x14ac:dyDescent="0.15">
      <c r="A1" s="122" t="s">
        <v>585</v>
      </c>
    </row>
  </sheetData>
  <phoneticPr fontId="24" type="noConversion"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包" dvAspect="DVASPECT_ICON" shapeId="7169" r:id="rId4">
          <objectPr defaultSize="0" autoPict="0" r:id="rId5">
            <anchor moveWithCells="1">
              <from>
                <xdr:col>3</xdr:col>
                <xdr:colOff>0</xdr:colOff>
                <xdr:row>5</xdr:row>
                <xdr:rowOff>0</xdr:rowOff>
              </from>
              <to>
                <xdr:col>3</xdr:col>
                <xdr:colOff>381000</xdr:colOff>
                <xdr:row>8</xdr:row>
                <xdr:rowOff>19050</xdr:rowOff>
              </to>
            </anchor>
          </objectPr>
        </oleObject>
      </mc:Choice>
      <mc:Fallback>
        <oleObject progId="包" dvAspect="DVASPECT_ICON" shapeId="7169" r:id="rId4"/>
      </mc:Fallback>
    </mc:AlternateContent>
    <mc:AlternateContent xmlns:mc="http://schemas.openxmlformats.org/markup-compatibility/2006">
      <mc:Choice Requires="x14">
        <oleObject progId="包" dvAspect="DVASPECT_ICON" shapeId="7170" r:id="rId6">
          <objectPr defaultSize="0" autoPict="0" r:id="rId5">
            <anchor moveWithCells="1">
              <from>
                <xdr:col>4</xdr:col>
                <xdr:colOff>647700</xdr:colOff>
                <xdr:row>5</xdr:row>
                <xdr:rowOff>38100</xdr:rowOff>
              </from>
              <to>
                <xdr:col>6</xdr:col>
                <xdr:colOff>9525</xdr:colOff>
                <xdr:row>8</xdr:row>
                <xdr:rowOff>76200</xdr:rowOff>
              </to>
            </anchor>
          </objectPr>
        </oleObject>
      </mc:Choice>
      <mc:Fallback>
        <oleObject progId="包" dvAspect="DVASPECT_ICON" shapeId="7170" r:id="rId6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4"/>
  <sheetViews>
    <sheetView workbookViewId="0"/>
  </sheetViews>
  <sheetFormatPr defaultRowHeight="14.25" x14ac:dyDescent="0.15"/>
  <cols>
    <col min="1" max="1" width="36.375" customWidth="1"/>
    <col min="2" max="2" width="59.625" customWidth="1"/>
    <col min="3" max="3" width="34.5" customWidth="1"/>
    <col min="4" max="4" width="24.875" customWidth="1"/>
    <col min="5" max="5" width="29" customWidth="1"/>
    <col min="6" max="6" width="30" customWidth="1"/>
  </cols>
  <sheetData>
    <row r="1" spans="1:6" ht="409.5" x14ac:dyDescent="0.15">
      <c r="A1" s="122" t="s">
        <v>589</v>
      </c>
      <c r="B1" s="123" t="s">
        <v>590</v>
      </c>
      <c r="C1" s="123" t="s">
        <v>591</v>
      </c>
      <c r="D1" s="123" t="s">
        <v>592</v>
      </c>
      <c r="E1" s="123" t="s">
        <v>594</v>
      </c>
      <c r="F1" s="123" t="s">
        <v>593</v>
      </c>
    </row>
    <row r="2" spans="1:6" x14ac:dyDescent="0.15">
      <c r="A2" s="58"/>
    </row>
    <row r="14" spans="1:6" x14ac:dyDescent="0.15">
      <c r="A14" s="58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4"/>
  <sheetViews>
    <sheetView topLeftCell="A4" workbookViewId="0">
      <selection activeCell="A21" sqref="A20:A21"/>
    </sheetView>
  </sheetViews>
  <sheetFormatPr defaultRowHeight="14.25" x14ac:dyDescent="0.15"/>
  <cols>
    <col min="1" max="1" width="15.375" customWidth="1"/>
    <col min="2" max="2" width="11.875" customWidth="1"/>
    <col min="5" max="5" width="9.375" customWidth="1"/>
    <col min="6" max="6" width="14.625" customWidth="1"/>
    <col min="7" max="7" width="11.5" customWidth="1"/>
    <col min="8" max="8" width="12.75" customWidth="1"/>
    <col min="9" max="9" width="14.625" customWidth="1"/>
    <col min="10" max="10" width="7.25" customWidth="1"/>
    <col min="12" max="12" width="11.25" customWidth="1"/>
  </cols>
  <sheetData>
    <row r="1" spans="1:9" x14ac:dyDescent="0.15">
      <c r="A1" s="39" t="s">
        <v>54</v>
      </c>
    </row>
    <row r="2" spans="1:9" x14ac:dyDescent="0.15">
      <c r="B2" s="39" t="s">
        <v>55</v>
      </c>
    </row>
    <row r="3" spans="1:9" x14ac:dyDescent="0.15">
      <c r="B3" s="39" t="s">
        <v>56</v>
      </c>
    </row>
    <row r="4" spans="1:9" x14ac:dyDescent="0.15">
      <c r="A4" s="58" t="s">
        <v>84</v>
      </c>
    </row>
    <row r="5" spans="1:9" ht="37.5" customHeight="1" x14ac:dyDescent="0.15">
      <c r="A5" s="124" t="s">
        <v>83</v>
      </c>
      <c r="B5" s="16"/>
      <c r="C5" s="16"/>
      <c r="D5" s="16"/>
      <c r="E5" s="16"/>
      <c r="F5" s="16"/>
      <c r="G5" s="125" t="s">
        <v>587</v>
      </c>
      <c r="H5" s="170" t="s">
        <v>586</v>
      </c>
      <c r="I5" s="171"/>
    </row>
    <row r="6" spans="1:9" ht="27.75" customHeight="1" x14ac:dyDescent="0.25">
      <c r="A6" s="167" t="s">
        <v>68</v>
      </c>
      <c r="B6" s="168"/>
      <c r="C6" s="168"/>
      <c r="D6" s="168"/>
      <c r="E6" s="168"/>
      <c r="F6" s="168"/>
      <c r="G6" s="168"/>
      <c r="H6" s="168"/>
      <c r="I6" s="169"/>
    </row>
    <row r="7" spans="1:9" x14ac:dyDescent="0.15">
      <c r="A7" s="126"/>
      <c r="B7" s="50" t="s">
        <v>64</v>
      </c>
      <c r="C7" s="50" t="s">
        <v>65</v>
      </c>
      <c r="D7" s="50" t="s">
        <v>66</v>
      </c>
      <c r="E7" s="50" t="s">
        <v>67</v>
      </c>
      <c r="F7" s="51" t="s">
        <v>70</v>
      </c>
      <c r="G7" s="50"/>
      <c r="H7" s="50"/>
      <c r="I7" s="50"/>
    </row>
    <row r="8" spans="1:9" x14ac:dyDescent="0.15">
      <c r="A8" s="52"/>
      <c r="B8" s="53">
        <v>14</v>
      </c>
      <c r="C8" s="53">
        <v>1</v>
      </c>
      <c r="D8" s="53">
        <v>6</v>
      </c>
      <c r="E8" s="53">
        <v>3</v>
      </c>
      <c r="F8" s="53">
        <v>11</v>
      </c>
      <c r="G8" s="53"/>
      <c r="H8" s="53"/>
      <c r="I8" s="53"/>
    </row>
    <row r="9" spans="1:9" x14ac:dyDescent="0.15">
      <c r="A9" s="127"/>
      <c r="B9" s="128"/>
      <c r="C9" s="128"/>
      <c r="D9" s="128"/>
      <c r="E9" s="128"/>
      <c r="F9" s="128"/>
      <c r="G9" s="128"/>
      <c r="H9" s="128"/>
      <c r="I9" s="129"/>
    </row>
    <row r="10" spans="1:9" x14ac:dyDescent="0.15">
      <c r="A10" s="130"/>
      <c r="B10" s="128"/>
      <c r="C10" s="128"/>
      <c r="D10" s="128"/>
      <c r="E10" s="128"/>
      <c r="F10" s="128"/>
      <c r="G10" s="128"/>
      <c r="H10" s="128"/>
      <c r="I10" s="129"/>
    </row>
    <row r="11" spans="1:9" ht="32.25" customHeight="1" x14ac:dyDescent="0.15">
      <c r="A11" s="164" t="s">
        <v>69</v>
      </c>
      <c r="B11" s="165"/>
      <c r="C11" s="165"/>
      <c r="D11" s="165"/>
      <c r="E11" s="165"/>
      <c r="F11" s="165"/>
      <c r="G11" s="165"/>
      <c r="H11" s="165"/>
      <c r="I11" s="166"/>
    </row>
    <row r="12" spans="1:9" s="40" customFormat="1" ht="25.5" customHeight="1" x14ac:dyDescent="0.15">
      <c r="A12" s="54" t="s">
        <v>57</v>
      </c>
      <c r="B12" s="54" t="s">
        <v>58</v>
      </c>
      <c r="C12" s="54" t="s">
        <v>59</v>
      </c>
      <c r="D12" s="54" t="s">
        <v>60</v>
      </c>
      <c r="E12" s="54" t="s">
        <v>61</v>
      </c>
      <c r="F12" s="54" t="s">
        <v>62</v>
      </c>
      <c r="G12" s="54"/>
      <c r="H12" s="54"/>
      <c r="I12" s="54"/>
    </row>
    <row r="13" spans="1:9" s="40" customFormat="1" ht="25.5" customHeight="1" x14ac:dyDescent="0.15">
      <c r="A13" s="55">
        <v>1.72</v>
      </c>
      <c r="B13" s="56">
        <v>1.2</v>
      </c>
      <c r="C13" s="56">
        <v>1</v>
      </c>
      <c r="D13" s="56">
        <v>0.25</v>
      </c>
      <c r="E13" s="56">
        <v>0.5</v>
      </c>
      <c r="F13" s="56">
        <v>0.2</v>
      </c>
      <c r="G13" s="57"/>
      <c r="H13" s="57"/>
      <c r="I13" s="57"/>
    </row>
    <row r="14" spans="1:9" x14ac:dyDescent="0.15">
      <c r="A14" s="1"/>
      <c r="B14" s="1"/>
      <c r="C14" s="1"/>
      <c r="D14" s="1"/>
      <c r="E14" s="1"/>
      <c r="F14" s="1"/>
      <c r="G14" s="1"/>
      <c r="H14" s="1"/>
      <c r="I14" s="1"/>
    </row>
  </sheetData>
  <sheetProtection password="CF7A" sheet="1" objects="1" scenarios="1"/>
  <mergeCells count="3">
    <mergeCell ref="A11:I11"/>
    <mergeCell ref="A6:I6"/>
    <mergeCell ref="H5:I5"/>
  </mergeCells>
  <phoneticPr fontId="1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L28"/>
  <sheetViews>
    <sheetView showGridLines="0" tabSelected="1" workbookViewId="0">
      <selection activeCell="AE8" sqref="AE8"/>
    </sheetView>
  </sheetViews>
  <sheetFormatPr defaultRowHeight="14.25" x14ac:dyDescent="0.15"/>
  <cols>
    <col min="1" max="1" width="5.125" customWidth="1"/>
    <col min="2" max="2" width="4.5" customWidth="1"/>
    <col min="3" max="3" width="4.625" customWidth="1"/>
    <col min="4" max="4" width="3.875" customWidth="1"/>
    <col min="5" max="5" width="1.375" customWidth="1"/>
    <col min="6" max="6" width="5.125" customWidth="1"/>
    <col min="7" max="7" width="4.875" customWidth="1"/>
    <col min="8" max="8" width="1.625" customWidth="1"/>
    <col min="9" max="9" width="5.875" customWidth="1"/>
    <col min="10" max="10" width="1.5" customWidth="1"/>
    <col min="11" max="11" width="1.25" customWidth="1"/>
    <col min="12" max="12" width="1.75" customWidth="1"/>
    <col min="13" max="13" width="1.375" customWidth="1"/>
    <col min="14" max="14" width="2" customWidth="1"/>
    <col min="15" max="15" width="0.875" customWidth="1"/>
    <col min="16" max="16" width="3" customWidth="1"/>
    <col min="17" max="17" width="1.25" customWidth="1"/>
    <col min="18" max="18" width="1.125" customWidth="1"/>
    <col min="19" max="19" width="3.625" customWidth="1"/>
    <col min="20" max="20" width="1.625" customWidth="1"/>
    <col min="21" max="21" width="2.625" customWidth="1"/>
    <col min="22" max="22" width="1.625" customWidth="1"/>
    <col min="23" max="23" width="1.875" customWidth="1"/>
    <col min="24" max="24" width="2.25" customWidth="1"/>
    <col min="25" max="25" width="1.625" customWidth="1"/>
    <col min="26" max="26" width="2.25" customWidth="1"/>
    <col min="27" max="27" width="4.375" customWidth="1"/>
    <col min="28" max="28" width="1.875" customWidth="1"/>
    <col min="29" max="29" width="6.25" customWidth="1"/>
    <col min="30" max="30" width="8.625" customWidth="1"/>
    <col min="31" max="31" width="13" customWidth="1"/>
    <col min="32" max="32" width="14" customWidth="1"/>
  </cols>
  <sheetData>
    <row r="1" spans="1:38" ht="30.75" customHeight="1" x14ac:dyDescent="0.15">
      <c r="A1" s="14"/>
      <c r="B1" s="16"/>
      <c r="C1" s="186" t="s">
        <v>14</v>
      </c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5"/>
      <c r="R1" s="16"/>
      <c r="S1" s="16"/>
      <c r="T1" s="16"/>
      <c r="U1" s="16"/>
      <c r="V1" s="16"/>
      <c r="W1" s="16"/>
      <c r="X1" s="16"/>
      <c r="Y1" s="16"/>
      <c r="Z1" s="16"/>
      <c r="AA1" s="16"/>
      <c r="AB1" s="17"/>
      <c r="AD1" s="177" t="s">
        <v>86</v>
      </c>
      <c r="AE1" s="178"/>
      <c r="AF1" s="61">
        <f>L11*(1-IF(E7-14&lt;0,0,E7-14)/100*设置及说明!B13-IF(G7-1&lt;0,0,G7-1)/100*设置及说明!C13-IF(I7-设置及说明!F8&lt;0,0,I7-设置及说明!F8)/100*设置及说明!F13-IF(N7-设置及说明!E8&lt;0,0,N7-设置及说明!E8)/100*设置及说明!E13-IF(S7-设置及说明!D8&lt;0,0,S7-设置及说明!D8)/100*设置及说明!D13)</f>
        <v>1.5049999999999999</v>
      </c>
      <c r="AG1" s="59"/>
      <c r="AH1" s="59"/>
      <c r="AI1" s="41"/>
      <c r="AJ1" s="41"/>
      <c r="AK1" s="41"/>
      <c r="AL1" s="41"/>
    </row>
    <row r="2" spans="1:38" ht="25.5" customHeight="1" x14ac:dyDescent="0.15">
      <c r="A2" s="18" t="s">
        <v>36</v>
      </c>
      <c r="B2" s="22"/>
      <c r="C2" s="184">
        <f ca="1">NOW()</f>
        <v>43166.421981134263</v>
      </c>
      <c r="D2" s="185"/>
      <c r="E2" s="185"/>
      <c r="F2" s="185"/>
      <c r="G2" s="185"/>
      <c r="H2" s="185"/>
      <c r="I2" s="185"/>
      <c r="J2" s="185"/>
      <c r="K2" s="185"/>
      <c r="L2" s="185"/>
      <c r="M2" s="185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19"/>
      <c r="AF2" s="41"/>
      <c r="AG2" s="41"/>
      <c r="AH2" s="41"/>
      <c r="AI2" s="41"/>
      <c r="AJ2" s="41"/>
      <c r="AK2" s="41"/>
      <c r="AL2" s="41"/>
    </row>
    <row r="3" spans="1:38" ht="15.75" customHeight="1" x14ac:dyDescent="0.15">
      <c r="A3" s="181"/>
      <c r="B3" s="31"/>
      <c r="C3" s="7"/>
      <c r="D3" s="7" t="s">
        <v>17</v>
      </c>
      <c r="E3" s="7"/>
      <c r="F3" s="7"/>
      <c r="G3" s="7"/>
      <c r="H3" s="7"/>
      <c r="I3" s="7"/>
      <c r="J3" s="180" t="s">
        <v>38</v>
      </c>
      <c r="K3" s="180"/>
      <c r="L3" s="180"/>
      <c r="M3" s="180"/>
      <c r="N3" s="180" t="s">
        <v>22</v>
      </c>
      <c r="O3" s="180"/>
      <c r="P3" s="180"/>
      <c r="Q3" s="180"/>
      <c r="R3" s="180"/>
      <c r="S3" s="197" t="s">
        <v>579</v>
      </c>
      <c r="T3" s="198"/>
      <c r="U3" s="198"/>
      <c r="V3" s="198"/>
      <c r="W3" s="198"/>
      <c r="X3" s="198"/>
      <c r="Y3" s="198"/>
      <c r="Z3" s="198"/>
      <c r="AA3" s="198"/>
      <c r="AB3" s="198"/>
      <c r="AD3" s="156" t="s">
        <v>992</v>
      </c>
      <c r="AE3" s="157"/>
      <c r="AF3" s="158" t="s">
        <v>993</v>
      </c>
      <c r="AG3" s="172">
        <v>180116004</v>
      </c>
      <c r="AH3" s="172"/>
      <c r="AI3" s="159"/>
      <c r="AJ3" s="160" t="s">
        <v>999</v>
      </c>
      <c r="AK3" s="161" t="s">
        <v>1000</v>
      </c>
      <c r="AL3" s="41"/>
    </row>
    <row r="4" spans="1:38" ht="14.25" customHeight="1" x14ac:dyDescent="0.15">
      <c r="A4" s="182"/>
      <c r="B4" s="8"/>
      <c r="C4" s="7"/>
      <c r="D4" s="208" t="s">
        <v>18</v>
      </c>
      <c r="E4" s="209"/>
      <c r="F4" s="209"/>
      <c r="G4" s="209"/>
      <c r="H4" s="209"/>
      <c r="I4" s="209"/>
      <c r="J4" s="180"/>
      <c r="K4" s="180"/>
      <c r="L4" s="180"/>
      <c r="M4" s="180"/>
      <c r="N4" s="180" t="s">
        <v>23</v>
      </c>
      <c r="O4" s="180"/>
      <c r="P4" s="180"/>
      <c r="Q4" s="180"/>
      <c r="R4" s="180"/>
      <c r="S4" s="205" t="s">
        <v>582</v>
      </c>
      <c r="T4" s="206"/>
      <c r="U4" s="206"/>
      <c r="V4" s="206"/>
      <c r="W4" s="206"/>
      <c r="X4" s="206"/>
      <c r="Y4" s="206"/>
      <c r="Z4" s="206"/>
      <c r="AA4" s="206"/>
      <c r="AB4" s="206"/>
      <c r="AD4" s="173" t="s">
        <v>1002</v>
      </c>
      <c r="AE4" s="174"/>
      <c r="AF4" s="162" t="s">
        <v>994</v>
      </c>
      <c r="AG4" s="162" t="s">
        <v>995</v>
      </c>
      <c r="AH4" s="162" t="s">
        <v>996</v>
      </c>
      <c r="AI4" s="163" t="s">
        <v>997</v>
      </c>
      <c r="AJ4" s="162" t="s">
        <v>998</v>
      </c>
      <c r="AK4" s="162" t="s">
        <v>1001</v>
      </c>
      <c r="AL4" s="41"/>
    </row>
    <row r="5" spans="1:38" ht="14.25" customHeight="1" x14ac:dyDescent="0.15">
      <c r="A5" s="182"/>
      <c r="B5" s="8"/>
      <c r="C5" s="10" t="s">
        <v>72</v>
      </c>
      <c r="D5" s="199">
        <v>180130001</v>
      </c>
      <c r="E5" s="200"/>
      <c r="F5" s="200"/>
      <c r="G5" s="201"/>
      <c r="H5" s="202"/>
      <c r="I5" s="9"/>
      <c r="J5" s="180"/>
      <c r="K5" s="180"/>
      <c r="L5" s="180"/>
      <c r="M5" s="180"/>
      <c r="N5" s="180" t="s">
        <v>24</v>
      </c>
      <c r="O5" s="180"/>
      <c r="P5" s="180"/>
      <c r="Q5" s="180"/>
      <c r="R5" s="180"/>
      <c r="S5" s="183" t="s">
        <v>581</v>
      </c>
      <c r="T5" s="183"/>
      <c r="U5" s="183"/>
      <c r="V5" s="183"/>
      <c r="W5" s="183"/>
      <c r="X5" s="183"/>
      <c r="Y5" s="183"/>
      <c r="Z5" s="183"/>
      <c r="AA5" s="183"/>
      <c r="AB5" s="183"/>
      <c r="AD5" s="175">
        <f>[1]暂存表!$B$2</f>
        <v>43166</v>
      </c>
      <c r="AE5" s="176"/>
      <c r="AF5" s="155">
        <f>[1]暂存表!$D$2</f>
        <v>30</v>
      </c>
      <c r="AG5" s="155">
        <f>[1]暂存表!$E$2</f>
        <v>1.5</v>
      </c>
      <c r="AH5" s="155">
        <f>[1]暂存表!$F$2</f>
        <v>8</v>
      </c>
      <c r="AI5" s="155">
        <f>[1]暂存表!$G$2</f>
        <v>1</v>
      </c>
      <c r="AJ5" s="155">
        <f>[1]暂存表!$H$2</f>
        <v>3.5</v>
      </c>
      <c r="AK5" s="155"/>
      <c r="AL5" s="41"/>
    </row>
    <row r="6" spans="1:38" ht="14.25" customHeight="1" x14ac:dyDescent="0.15">
      <c r="A6" s="11" t="s">
        <v>21</v>
      </c>
      <c r="B6" s="29"/>
      <c r="C6" s="203"/>
      <c r="D6" s="204"/>
      <c r="E6" s="194" t="s">
        <v>25</v>
      </c>
      <c r="F6" s="196"/>
      <c r="G6" s="194" t="s">
        <v>26</v>
      </c>
      <c r="H6" s="196"/>
      <c r="I6" s="180" t="s">
        <v>27</v>
      </c>
      <c r="J6" s="180"/>
      <c r="K6" s="180"/>
      <c r="L6" s="180"/>
      <c r="M6" s="180"/>
      <c r="N6" s="187" t="s">
        <v>37</v>
      </c>
      <c r="O6" s="187"/>
      <c r="P6" s="187"/>
      <c r="Q6" s="187"/>
      <c r="R6" s="187"/>
      <c r="S6" s="188" t="s">
        <v>41</v>
      </c>
      <c r="T6" s="189"/>
      <c r="U6" s="190"/>
      <c r="V6" s="180"/>
      <c r="W6" s="180"/>
      <c r="X6" s="180"/>
      <c r="Y6" s="180" t="s">
        <v>44</v>
      </c>
      <c r="Z6" s="180"/>
      <c r="AA6" s="180"/>
      <c r="AB6" s="180"/>
      <c r="AD6" s="62"/>
      <c r="AE6" s="62"/>
      <c r="AF6" s="62"/>
      <c r="AG6" s="62"/>
      <c r="AH6" s="41"/>
      <c r="AI6" s="41"/>
      <c r="AJ6" s="41"/>
      <c r="AK6" s="41"/>
      <c r="AL6" s="41"/>
    </row>
    <row r="7" spans="1:38" ht="14.25" customHeight="1" x14ac:dyDescent="0.15">
      <c r="A7" s="8" t="s">
        <v>16</v>
      </c>
      <c r="B7" s="28"/>
      <c r="C7" s="207"/>
      <c r="D7" s="202"/>
      <c r="E7" s="191">
        <v>24</v>
      </c>
      <c r="F7" s="193"/>
      <c r="G7" s="191">
        <v>1</v>
      </c>
      <c r="H7" s="193"/>
      <c r="I7" s="197">
        <v>11</v>
      </c>
      <c r="J7" s="223"/>
      <c r="K7" s="223"/>
      <c r="L7" s="223"/>
      <c r="M7" s="223"/>
      <c r="N7" s="223">
        <v>0</v>
      </c>
      <c r="O7" s="223"/>
      <c r="P7" s="223"/>
      <c r="Q7" s="223"/>
      <c r="R7" s="223"/>
      <c r="S7" s="191">
        <v>8</v>
      </c>
      <c r="T7" s="192"/>
      <c r="U7" s="193"/>
      <c r="V7" s="182"/>
      <c r="W7" s="182"/>
      <c r="X7" s="182"/>
      <c r="Y7" s="182">
        <f>IF(I7-设置及说明!F8&lt;0,0, ROUND((I7-设置及说明!F8)/100*录入界面!Z9*设置及说明!F13,0))</f>
        <v>0</v>
      </c>
      <c r="Z7" s="182"/>
      <c r="AA7" s="182"/>
      <c r="AB7" s="182"/>
      <c r="AD7" s="179"/>
      <c r="AE7" s="179"/>
      <c r="AF7" s="63"/>
      <c r="AG7" s="62"/>
      <c r="AH7" s="41"/>
      <c r="AI7" s="41"/>
      <c r="AJ7" s="41"/>
      <c r="AK7" s="41"/>
      <c r="AL7" s="41"/>
    </row>
    <row r="8" spans="1:38" x14ac:dyDescent="0.15">
      <c r="A8" s="11" t="s">
        <v>28</v>
      </c>
      <c r="B8" s="29"/>
      <c r="C8" s="194" t="s">
        <v>29</v>
      </c>
      <c r="D8" s="195"/>
      <c r="E8" s="196"/>
      <c r="F8" s="207"/>
      <c r="G8" s="201"/>
      <c r="H8" s="201"/>
      <c r="I8" s="201"/>
      <c r="J8" s="201"/>
      <c r="K8" s="201"/>
      <c r="L8" s="201"/>
      <c r="M8" s="202"/>
      <c r="N8" s="180" t="s">
        <v>0</v>
      </c>
      <c r="O8" s="180"/>
      <c r="P8" s="180"/>
      <c r="Q8" s="180"/>
      <c r="R8" s="180"/>
      <c r="S8" s="194" t="s">
        <v>1</v>
      </c>
      <c r="T8" s="195"/>
      <c r="U8" s="196"/>
      <c r="V8" s="180" t="s">
        <v>45</v>
      </c>
      <c r="W8" s="180"/>
      <c r="X8" s="180"/>
      <c r="Y8" s="180"/>
      <c r="Z8" s="180" t="s">
        <v>2</v>
      </c>
      <c r="AA8" s="180"/>
      <c r="AB8" s="180"/>
      <c r="AD8" s="62"/>
      <c r="AE8" s="64"/>
      <c r="AF8" s="64"/>
      <c r="AG8" s="62"/>
      <c r="AH8" s="41"/>
      <c r="AI8" s="41"/>
      <c r="AJ8" s="41"/>
      <c r="AK8" s="41"/>
      <c r="AL8" s="41"/>
    </row>
    <row r="9" spans="1:38" x14ac:dyDescent="0.15">
      <c r="A9" s="74" t="s">
        <v>567</v>
      </c>
      <c r="B9" s="28"/>
      <c r="C9" s="217" t="s">
        <v>580</v>
      </c>
      <c r="D9" s="192"/>
      <c r="E9" s="193"/>
      <c r="F9" s="207"/>
      <c r="G9" s="201"/>
      <c r="H9" s="201"/>
      <c r="I9" s="201"/>
      <c r="J9" s="201"/>
      <c r="K9" s="201"/>
      <c r="L9" s="201"/>
      <c r="M9" s="202"/>
      <c r="N9" s="223">
        <v>100000</v>
      </c>
      <c r="O9" s="223"/>
      <c r="P9" s="223"/>
      <c r="Q9" s="223"/>
      <c r="R9" s="224"/>
      <c r="S9" s="242">
        <v>23740</v>
      </c>
      <c r="T9" s="243"/>
      <c r="U9" s="244"/>
      <c r="V9" s="222">
        <f>ROUND((G7-设置及说明!C8)/100*(N9-S9)*设置及说明!C13,0)</f>
        <v>0</v>
      </c>
      <c r="W9" s="222"/>
      <c r="X9" s="222"/>
      <c r="Y9" s="222"/>
      <c r="Z9" s="222">
        <f>N9-S9</f>
        <v>76260</v>
      </c>
      <c r="AA9" s="222"/>
      <c r="AB9" s="222"/>
      <c r="AD9" s="62"/>
      <c r="AE9" s="62"/>
      <c r="AF9" s="62"/>
      <c r="AG9" s="62"/>
      <c r="AH9" s="41"/>
      <c r="AI9" s="41"/>
      <c r="AJ9" s="41"/>
      <c r="AK9" s="41"/>
      <c r="AL9" s="41"/>
    </row>
    <row r="10" spans="1:38" x14ac:dyDescent="0.15">
      <c r="A10" s="7"/>
      <c r="B10" s="30"/>
      <c r="C10" s="194" t="s">
        <v>30</v>
      </c>
      <c r="D10" s="195"/>
      <c r="E10" s="196"/>
      <c r="F10" s="194" t="s">
        <v>31</v>
      </c>
      <c r="G10" s="196"/>
      <c r="H10" s="194" t="s">
        <v>32</v>
      </c>
      <c r="I10" s="195"/>
      <c r="J10" s="195"/>
      <c r="K10" s="196"/>
      <c r="L10" s="180" t="s">
        <v>33</v>
      </c>
      <c r="M10" s="180"/>
      <c r="N10" s="180"/>
      <c r="O10" s="180"/>
      <c r="P10" s="180"/>
      <c r="Q10" s="180"/>
      <c r="R10" s="180" t="s">
        <v>42</v>
      </c>
      <c r="S10" s="180"/>
      <c r="T10" s="180"/>
      <c r="U10" s="180"/>
      <c r="V10" s="245"/>
      <c r="W10" s="180" t="s">
        <v>46</v>
      </c>
      <c r="X10" s="180"/>
      <c r="Y10" s="180"/>
      <c r="Z10" s="180"/>
      <c r="AA10" s="180"/>
      <c r="AB10" s="180"/>
      <c r="AD10" s="41"/>
      <c r="AE10" s="41"/>
      <c r="AF10" s="62"/>
      <c r="AG10" s="41"/>
      <c r="AH10" s="41"/>
      <c r="AI10" s="41"/>
      <c r="AJ10" s="41"/>
      <c r="AK10" s="41"/>
      <c r="AL10" s="41"/>
    </row>
    <row r="11" spans="1:38" x14ac:dyDescent="0.15">
      <c r="A11" s="7"/>
      <c r="B11" s="30"/>
      <c r="C11" s="207">
        <f>IF(E7-设置及说明!B8&lt;0,0,ROUND((E7-设置及说明!B8)/100*Z9*设置及说明!B13,0))</f>
        <v>9151</v>
      </c>
      <c r="D11" s="201"/>
      <c r="E11" s="202"/>
      <c r="F11" s="215">
        <f>IF(N7-设置及说明!E8&lt;0,0,ROUND((N7-设置及说明!E8)/100*Z9*设置及说明!E13,0))+IF(录入界面!S7-设置及说明!D8&lt;0,0,ROUND((S7-设置及说明!D8)/100*Z9*设置及说明!D13,0))</f>
        <v>381</v>
      </c>
      <c r="G11" s="216"/>
      <c r="H11" s="207">
        <f>Z9-Y7-C11-F11-V9</f>
        <v>66728</v>
      </c>
      <c r="I11" s="201"/>
      <c r="J11" s="201"/>
      <c r="K11" s="202"/>
      <c r="L11" s="207">
        <f>设置及说明!A13</f>
        <v>1.72</v>
      </c>
      <c r="M11" s="201"/>
      <c r="N11" s="201"/>
      <c r="O11" s="201"/>
      <c r="P11" s="201"/>
      <c r="Q11" s="202"/>
      <c r="R11" s="182">
        <f>H11*L11</f>
        <v>114772.16</v>
      </c>
      <c r="S11" s="182"/>
      <c r="T11" s="182"/>
      <c r="U11" s="182"/>
      <c r="V11" s="182"/>
      <c r="W11" s="182">
        <f>R11</f>
        <v>114772.16</v>
      </c>
      <c r="X11" s="182"/>
      <c r="Y11" s="182"/>
      <c r="Z11" s="182"/>
      <c r="AA11" s="182"/>
      <c r="AB11" s="182"/>
      <c r="AD11" s="41"/>
      <c r="AE11" s="41"/>
      <c r="AF11" s="41"/>
      <c r="AG11" s="41"/>
      <c r="AH11" s="41"/>
      <c r="AI11" s="41"/>
      <c r="AJ11" s="41"/>
      <c r="AK11" s="41"/>
      <c r="AL11" s="41"/>
    </row>
    <row r="12" spans="1:38" x14ac:dyDescent="0.15">
      <c r="A12" s="238"/>
      <c r="B12" s="239"/>
      <c r="C12" s="239"/>
      <c r="D12" s="239"/>
      <c r="E12" s="239"/>
      <c r="F12" s="239"/>
      <c r="G12" s="239"/>
      <c r="H12" s="239"/>
      <c r="I12" s="239"/>
      <c r="J12" s="239"/>
      <c r="K12" s="239"/>
      <c r="L12" s="239"/>
      <c r="M12" s="239"/>
      <c r="N12" s="239"/>
      <c r="O12" s="239"/>
      <c r="P12" s="239"/>
      <c r="Q12" s="239"/>
      <c r="R12" s="239"/>
      <c r="S12" s="239"/>
      <c r="T12" s="239"/>
      <c r="U12" s="239"/>
      <c r="V12" s="239"/>
      <c r="W12" s="239"/>
      <c r="X12" s="239"/>
      <c r="Y12" s="239"/>
      <c r="Z12" s="239"/>
      <c r="AA12" s="239"/>
      <c r="AB12" s="240"/>
    </row>
    <row r="13" spans="1:38" x14ac:dyDescent="0.15">
      <c r="A13" s="218"/>
      <c r="B13" s="219"/>
      <c r="C13" s="219"/>
      <c r="D13" s="219"/>
      <c r="E13" s="219"/>
      <c r="F13" s="219"/>
      <c r="G13" s="219"/>
      <c r="H13" s="219"/>
      <c r="I13" s="219"/>
      <c r="J13" s="219"/>
      <c r="K13" s="219"/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41"/>
    </row>
    <row r="14" spans="1:38" ht="12.75" customHeight="1" x14ac:dyDescent="0.15">
      <c r="A14" s="12" t="s">
        <v>34</v>
      </c>
      <c r="B14" s="36"/>
      <c r="C14" s="210" t="str">
        <f>TEXT(W11,"#.00")</f>
        <v>114772.16</v>
      </c>
      <c r="D14" s="211"/>
      <c r="E14" s="212"/>
      <c r="F14" s="194" t="s">
        <v>35</v>
      </c>
      <c r="G14" s="195"/>
      <c r="H14" s="196"/>
      <c r="I14" s="45">
        <f>INT(C14/10000)</f>
        <v>11</v>
      </c>
      <c r="J14" s="10" t="s">
        <v>19</v>
      </c>
      <c r="K14" s="7"/>
      <c r="L14" s="213">
        <f>INT(MOD(C14,10000)/1000)</f>
        <v>4</v>
      </c>
      <c r="M14" s="214"/>
      <c r="N14" s="225" t="s">
        <v>20</v>
      </c>
      <c r="O14" s="226"/>
      <c r="P14" s="45">
        <f>INT(MOD(MOD(C14,10000),1000)/100)</f>
        <v>7</v>
      </c>
      <c r="Q14" s="10" t="s">
        <v>39</v>
      </c>
      <c r="R14" s="7"/>
      <c r="S14" s="45">
        <f>INT(MOD(MOD(MOD(C14,10000),1000),100)/10)</f>
        <v>7</v>
      </c>
      <c r="T14" s="10" t="s">
        <v>40</v>
      </c>
      <c r="U14" s="220" t="str">
        <f>NUMBERSTRING(LEFT(RIGHT(C14,4),1),2)</f>
        <v>贰</v>
      </c>
      <c r="V14" s="221"/>
      <c r="W14" s="10" t="s">
        <v>43</v>
      </c>
      <c r="X14" s="237" t="str">
        <f>NUMBERSTRING(LEFT(RIGHT(C14,2),1),2)</f>
        <v>壹</v>
      </c>
      <c r="Y14" s="237"/>
      <c r="Z14" s="12" t="s">
        <v>47</v>
      </c>
      <c r="AA14" s="112" t="str">
        <f>NUMBERSTRING(LEFT(RIGHT(C14,1),1),2)</f>
        <v>陆</v>
      </c>
      <c r="AB14" s="20" t="s">
        <v>48</v>
      </c>
      <c r="AF14" s="228" t="s">
        <v>87</v>
      </c>
      <c r="AG14" s="229"/>
      <c r="AH14" s="230"/>
    </row>
    <row r="15" spans="1:38" ht="23.25" customHeight="1" x14ac:dyDescent="0.15">
      <c r="A15" s="37" t="s">
        <v>51</v>
      </c>
      <c r="B15" s="42"/>
      <c r="C15" s="37" t="s">
        <v>50</v>
      </c>
      <c r="D15" s="183"/>
      <c r="E15" s="183"/>
      <c r="F15" s="37" t="s">
        <v>52</v>
      </c>
      <c r="G15" s="43"/>
      <c r="H15" s="38" t="s">
        <v>53</v>
      </c>
      <c r="I15" s="44"/>
      <c r="J15" s="180" t="s">
        <v>49</v>
      </c>
      <c r="K15" s="180"/>
      <c r="L15" s="180"/>
      <c r="M15" s="246"/>
      <c r="N15" s="247"/>
      <c r="O15" s="247"/>
      <c r="P15" s="247"/>
      <c r="Q15" s="248"/>
      <c r="R15" s="218"/>
      <c r="S15" s="219"/>
      <c r="T15" s="219"/>
      <c r="U15" s="219"/>
      <c r="V15" s="219"/>
      <c r="W15" s="219"/>
      <c r="X15" s="219"/>
      <c r="Y15" s="219"/>
      <c r="Z15" s="219"/>
      <c r="AA15" s="13"/>
      <c r="AB15" s="21"/>
      <c r="AF15" s="231"/>
      <c r="AG15" s="232"/>
      <c r="AH15" s="233"/>
    </row>
    <row r="16" spans="1:38" x14ac:dyDescent="0.1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5"/>
      <c r="AA16" s="5"/>
      <c r="AB16" s="5"/>
      <c r="AF16" s="231"/>
      <c r="AG16" s="232"/>
      <c r="AH16" s="233"/>
    </row>
    <row r="17" spans="1:38" x14ac:dyDescent="0.15">
      <c r="A17" s="47" t="s">
        <v>63</v>
      </c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F17" s="234"/>
      <c r="AG17" s="235"/>
      <c r="AH17" s="236"/>
    </row>
    <row r="18" spans="1:38" x14ac:dyDescent="0.1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D18" s="60"/>
      <c r="AE18" s="41"/>
    </row>
    <row r="19" spans="1:38" x14ac:dyDescent="0.1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D19" s="60"/>
      <c r="AE19" s="41"/>
    </row>
    <row r="20" spans="1:38" x14ac:dyDescent="0.15"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</row>
    <row r="21" spans="1:38" x14ac:dyDescent="0.15"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114"/>
      <c r="O21" s="41"/>
      <c r="P21" s="41"/>
      <c r="Q21" s="41"/>
      <c r="R21" s="41"/>
      <c r="S21" s="41" t="s">
        <v>456</v>
      </c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</row>
    <row r="22" spans="1:38" x14ac:dyDescent="0.15"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</row>
    <row r="23" spans="1:38" x14ac:dyDescent="0.15"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</row>
    <row r="24" spans="1:38" x14ac:dyDescent="0.15">
      <c r="A24" s="227"/>
      <c r="B24" s="227"/>
      <c r="C24" s="227"/>
      <c r="D24" s="227"/>
      <c r="E24" s="227"/>
      <c r="F24" s="227"/>
      <c r="G24" s="227"/>
      <c r="H24" s="227"/>
      <c r="I24" s="227"/>
      <c r="J24" s="227"/>
      <c r="K24" s="227"/>
      <c r="L24" s="227"/>
      <c r="M24" s="227"/>
      <c r="N24" s="227"/>
      <c r="O24" s="227"/>
      <c r="P24" s="227"/>
      <c r="Q24" s="227"/>
      <c r="R24" s="227"/>
      <c r="S24" s="227"/>
      <c r="T24" s="227"/>
      <c r="U24" s="227"/>
      <c r="V24" s="227"/>
      <c r="W24" s="227"/>
      <c r="X24" s="227"/>
      <c r="Y24" s="227"/>
      <c r="Z24" s="227"/>
      <c r="AA24" s="227"/>
      <c r="AB24" s="227"/>
      <c r="AC24" s="227"/>
      <c r="AD24" s="227"/>
      <c r="AE24" s="227"/>
      <c r="AF24" s="227"/>
      <c r="AG24" s="227"/>
      <c r="AH24" s="227"/>
      <c r="AI24" s="227"/>
      <c r="AJ24" s="227"/>
      <c r="AK24" s="227"/>
      <c r="AL24" s="41"/>
    </row>
    <row r="25" spans="1:38" x14ac:dyDescent="0.15"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</row>
    <row r="26" spans="1:38" x14ac:dyDescent="0.15"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</row>
    <row r="27" spans="1:38" x14ac:dyDescent="0.15"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</row>
    <row r="28" spans="1:38" x14ac:dyDescent="0.15"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</row>
  </sheetData>
  <mergeCells count="71">
    <mergeCell ref="A24:AK24"/>
    <mergeCell ref="AF14:AH17"/>
    <mergeCell ref="D15:E15"/>
    <mergeCell ref="Z9:AB9"/>
    <mergeCell ref="W10:AB10"/>
    <mergeCell ref="W11:AB11"/>
    <mergeCell ref="X14:Y14"/>
    <mergeCell ref="A12:AB13"/>
    <mergeCell ref="S9:U9"/>
    <mergeCell ref="R10:V10"/>
    <mergeCell ref="R11:V11"/>
    <mergeCell ref="H11:K11"/>
    <mergeCell ref="M15:Q15"/>
    <mergeCell ref="L10:Q10"/>
    <mergeCell ref="L11:Q11"/>
    <mergeCell ref="C11:E11"/>
    <mergeCell ref="J15:L15"/>
    <mergeCell ref="R15:Z15"/>
    <mergeCell ref="H10:K10"/>
    <mergeCell ref="V6:X6"/>
    <mergeCell ref="U14:V14"/>
    <mergeCell ref="V9:Y9"/>
    <mergeCell ref="N7:R7"/>
    <mergeCell ref="F14:H14"/>
    <mergeCell ref="V7:X7"/>
    <mergeCell ref="G7:H7"/>
    <mergeCell ref="I7:M7"/>
    <mergeCell ref="N9:R9"/>
    <mergeCell ref="F8:M8"/>
    <mergeCell ref="F9:M9"/>
    <mergeCell ref="N14:O14"/>
    <mergeCell ref="F10:G10"/>
    <mergeCell ref="N8:R8"/>
    <mergeCell ref="C14:E14"/>
    <mergeCell ref="L14:M14"/>
    <mergeCell ref="F11:G11"/>
    <mergeCell ref="C9:E9"/>
    <mergeCell ref="C10:E10"/>
    <mergeCell ref="S7:U7"/>
    <mergeCell ref="E7:F7"/>
    <mergeCell ref="S8:U8"/>
    <mergeCell ref="S3:AB3"/>
    <mergeCell ref="D5:F5"/>
    <mergeCell ref="G5:H5"/>
    <mergeCell ref="C6:D6"/>
    <mergeCell ref="E6:F6"/>
    <mergeCell ref="V8:Y8"/>
    <mergeCell ref="Z8:AB8"/>
    <mergeCell ref="Y7:AB7"/>
    <mergeCell ref="S4:AB4"/>
    <mergeCell ref="C8:E8"/>
    <mergeCell ref="C7:D7"/>
    <mergeCell ref="N5:R5"/>
    <mergeCell ref="G6:H6"/>
    <mergeCell ref="C1:P1"/>
    <mergeCell ref="I6:M6"/>
    <mergeCell ref="N6:R6"/>
    <mergeCell ref="J3:M5"/>
    <mergeCell ref="S6:U6"/>
    <mergeCell ref="N4:R4"/>
    <mergeCell ref="D4:I4"/>
    <mergeCell ref="N3:R3"/>
    <mergeCell ref="A3:A5"/>
    <mergeCell ref="S5:AB5"/>
    <mergeCell ref="Y6:AB6"/>
    <mergeCell ref="C2:M2"/>
    <mergeCell ref="AG3:AH3"/>
    <mergeCell ref="AD4:AE4"/>
    <mergeCell ref="AD5:AE5"/>
    <mergeCell ref="AD1:AE1"/>
    <mergeCell ref="AD7:AE7"/>
  </mergeCells>
  <phoneticPr fontId="1" type="noConversion"/>
  <pageMargins left="0" right="0" top="0" bottom="0" header="0" footer="0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124" r:id="rId4" name="CommandButton5">
          <controlPr defaultSize="0" autoLine="0" r:id="rId5">
            <anchor moveWithCells="1" sizeWithCells="1">
              <from>
                <xdr:col>32</xdr:col>
                <xdr:colOff>85725</xdr:colOff>
                <xdr:row>14</xdr:row>
                <xdr:rowOff>47625</xdr:rowOff>
              </from>
              <to>
                <xdr:col>33</xdr:col>
                <xdr:colOff>514350</xdr:colOff>
                <xdr:row>15</xdr:row>
                <xdr:rowOff>133350</xdr:rowOff>
              </to>
            </anchor>
          </controlPr>
        </control>
      </mc:Choice>
      <mc:Fallback>
        <control shapeId="3124" r:id="rId4" name="CommandButton5"/>
      </mc:Fallback>
    </mc:AlternateContent>
    <mc:AlternateContent xmlns:mc="http://schemas.openxmlformats.org/markup-compatibility/2006">
      <mc:Choice Requires="x14">
        <control shapeId="3123" r:id="rId6" name="CommandButton4">
          <controlPr defaultSize="0" autoLine="0" r:id="rId7">
            <anchor moveWithCells="1" sizeWithCells="1">
              <from>
                <xdr:col>31</xdr:col>
                <xdr:colOff>85725</xdr:colOff>
                <xdr:row>14</xdr:row>
                <xdr:rowOff>38100</xdr:rowOff>
              </from>
              <to>
                <xdr:col>32</xdr:col>
                <xdr:colOff>0</xdr:colOff>
                <xdr:row>15</xdr:row>
                <xdr:rowOff>152400</xdr:rowOff>
              </to>
            </anchor>
          </controlPr>
        </control>
      </mc:Choice>
      <mc:Fallback>
        <control shapeId="3123" r:id="rId6" name="CommandButton4"/>
      </mc:Fallback>
    </mc:AlternateContent>
    <mc:AlternateContent xmlns:mc="http://schemas.openxmlformats.org/markup-compatibility/2006">
      <mc:Choice Requires="x14">
        <control shapeId="3122" r:id="rId8" name="CommandButton1">
          <controlPr defaultSize="0" autoLine="0" r:id="rId9">
            <anchor moveWithCells="1">
              <from>
                <xdr:col>29</xdr:col>
                <xdr:colOff>38100</xdr:colOff>
                <xdr:row>14</xdr:row>
                <xdr:rowOff>57150</xdr:rowOff>
              </from>
              <to>
                <xdr:col>30</xdr:col>
                <xdr:colOff>657225</xdr:colOff>
                <xdr:row>15</xdr:row>
                <xdr:rowOff>142875</xdr:rowOff>
              </to>
            </anchor>
          </controlPr>
        </control>
      </mc:Choice>
      <mc:Fallback>
        <control shapeId="3122" r:id="rId8" name="CommandButton1"/>
      </mc:Fallback>
    </mc:AlternateContent>
    <mc:AlternateContent xmlns:mc="http://schemas.openxmlformats.org/markup-compatibility/2006">
      <mc:Choice Requires="x14">
        <control shapeId="3125" r:id="rId10" name="CommandButton2">
          <controlPr defaultSize="0" autoLine="0" r:id="rId11">
            <anchor moveWithCells="1">
              <from>
                <xdr:col>34</xdr:col>
                <xdr:colOff>466725</xdr:colOff>
                <xdr:row>14</xdr:row>
                <xdr:rowOff>66675</xdr:rowOff>
              </from>
              <to>
                <xdr:col>36</xdr:col>
                <xdr:colOff>95250</xdr:colOff>
                <xdr:row>15</xdr:row>
                <xdr:rowOff>152400</xdr:rowOff>
              </to>
            </anchor>
          </controlPr>
        </control>
      </mc:Choice>
      <mc:Fallback>
        <control shapeId="3125" r:id="rId10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45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2" sqref="E2"/>
    </sheetView>
  </sheetViews>
  <sheetFormatPr defaultRowHeight="12" x14ac:dyDescent="0.15"/>
  <cols>
    <col min="1" max="1" width="9" style="48"/>
    <col min="2" max="2" width="14.125" style="138" customWidth="1"/>
    <col min="3" max="3" width="15.625" style="48" customWidth="1"/>
    <col min="4" max="4" width="12.125" style="48" customWidth="1"/>
    <col min="5" max="5" width="10.875" style="48" customWidth="1"/>
    <col min="6" max="10" width="9" style="48"/>
    <col min="11" max="11" width="10" style="48" customWidth="1"/>
    <col min="12" max="14" width="9" style="48"/>
    <col min="15" max="15" width="10.375" style="48" customWidth="1"/>
    <col min="16" max="24" width="9" style="48"/>
    <col min="25" max="25" width="19.75" style="48" customWidth="1"/>
    <col min="26" max="26" width="35" style="48" customWidth="1"/>
    <col min="27" max="27" width="14.75" style="48" customWidth="1"/>
    <col min="28" max="28" width="42.25" style="102" customWidth="1"/>
    <col min="29" max="16384" width="9" style="48"/>
  </cols>
  <sheetData>
    <row r="1" spans="1:28" x14ac:dyDescent="0.15">
      <c r="A1" s="2" t="s">
        <v>583</v>
      </c>
      <c r="B1" s="2" t="s">
        <v>584</v>
      </c>
      <c r="C1" s="2" t="s">
        <v>4</v>
      </c>
      <c r="D1" s="2" t="s">
        <v>5</v>
      </c>
      <c r="E1" s="2" t="s">
        <v>71</v>
      </c>
      <c r="F1" s="2" t="s">
        <v>7</v>
      </c>
      <c r="G1" s="2" t="s">
        <v>8</v>
      </c>
      <c r="H1" s="2" t="s">
        <v>10</v>
      </c>
      <c r="I1" s="2" t="s">
        <v>9</v>
      </c>
      <c r="J1" s="2" t="s">
        <v>73</v>
      </c>
      <c r="K1" s="2" t="s">
        <v>11</v>
      </c>
      <c r="L1" s="2" t="s">
        <v>12</v>
      </c>
      <c r="M1" s="2" t="s">
        <v>74</v>
      </c>
      <c r="N1" s="2" t="s">
        <v>81</v>
      </c>
      <c r="O1" s="2" t="s">
        <v>44</v>
      </c>
      <c r="P1" s="2" t="s">
        <v>13</v>
      </c>
      <c r="Q1" s="2" t="s">
        <v>15</v>
      </c>
      <c r="R1" s="2" t="s">
        <v>82</v>
      </c>
      <c r="S1" s="2" t="s">
        <v>6</v>
      </c>
      <c r="T1" s="3" t="s">
        <v>3</v>
      </c>
      <c r="U1" s="2" t="s">
        <v>76</v>
      </c>
      <c r="V1" s="2" t="s">
        <v>75</v>
      </c>
      <c r="W1" s="2" t="s">
        <v>77</v>
      </c>
      <c r="X1" s="2" t="s">
        <v>78</v>
      </c>
      <c r="Y1" s="2" t="s">
        <v>79</v>
      </c>
      <c r="Z1" s="2" t="s">
        <v>80</v>
      </c>
      <c r="AA1" s="103" t="s">
        <v>120</v>
      </c>
      <c r="AB1" s="104" t="s">
        <v>121</v>
      </c>
    </row>
    <row r="2" spans="1:28" s="49" customFormat="1" x14ac:dyDescent="0.15">
      <c r="B2" s="136" t="s">
        <v>957</v>
      </c>
      <c r="C2" s="113">
        <v>43116.555555555555</v>
      </c>
      <c r="D2" s="49" t="s">
        <v>101</v>
      </c>
      <c r="E2" s="49">
        <v>180116004</v>
      </c>
      <c r="F2" s="49">
        <v>25</v>
      </c>
      <c r="G2" s="49">
        <v>1</v>
      </c>
      <c r="H2" s="49">
        <v>8</v>
      </c>
      <c r="I2" s="49">
        <v>1</v>
      </c>
      <c r="J2" s="49">
        <v>3.5</v>
      </c>
      <c r="K2" s="49">
        <v>24520</v>
      </c>
      <c r="L2" s="49">
        <v>8110</v>
      </c>
      <c r="M2" s="49">
        <v>0</v>
      </c>
      <c r="N2" s="49">
        <v>16410</v>
      </c>
      <c r="O2" s="49">
        <v>0</v>
      </c>
      <c r="P2" s="49">
        <v>2166</v>
      </c>
      <c r="Q2" s="49">
        <v>0</v>
      </c>
      <c r="R2" s="49">
        <v>14244</v>
      </c>
      <c r="S2" s="49">
        <v>1.7</v>
      </c>
      <c r="T2" s="49">
        <v>24214.799999999999</v>
      </c>
      <c r="U2" s="49" t="s">
        <v>102</v>
      </c>
      <c r="V2" s="49" t="s">
        <v>103</v>
      </c>
      <c r="W2" s="49" t="s">
        <v>104</v>
      </c>
      <c r="X2" s="49" t="s">
        <v>105</v>
      </c>
      <c r="Y2" s="49" t="s">
        <v>106</v>
      </c>
      <c r="Z2" s="49" t="s">
        <v>107</v>
      </c>
      <c r="AA2" s="49" t="s">
        <v>965</v>
      </c>
      <c r="AB2" s="101" t="s">
        <v>596</v>
      </c>
    </row>
    <row r="3" spans="1:28" s="49" customFormat="1" ht="14.25" customHeight="1" x14ac:dyDescent="0.15">
      <c r="B3" s="136" t="s">
        <v>957</v>
      </c>
      <c r="C3" s="113">
        <v>43116.679861111108</v>
      </c>
      <c r="D3" s="49" t="s">
        <v>108</v>
      </c>
      <c r="E3" s="49">
        <v>180116006</v>
      </c>
      <c r="F3" s="49">
        <v>26.3</v>
      </c>
      <c r="G3" s="49">
        <v>1</v>
      </c>
      <c r="H3" s="49">
        <v>7</v>
      </c>
      <c r="I3" s="49">
        <v>0</v>
      </c>
      <c r="J3" s="49">
        <v>2</v>
      </c>
      <c r="K3" s="49">
        <v>38330</v>
      </c>
      <c r="L3" s="49">
        <v>9470</v>
      </c>
      <c r="M3" s="49">
        <v>0</v>
      </c>
      <c r="N3" s="49">
        <v>28860</v>
      </c>
      <c r="O3" s="49">
        <v>0</v>
      </c>
      <c r="P3" s="49">
        <v>4260</v>
      </c>
      <c r="Q3" s="49">
        <v>0</v>
      </c>
      <c r="R3" s="49">
        <v>24600</v>
      </c>
      <c r="S3" s="49">
        <v>1.7</v>
      </c>
      <c r="T3" s="49">
        <v>41820</v>
      </c>
      <c r="U3" s="49" t="s">
        <v>102</v>
      </c>
      <c r="V3" s="49" t="s">
        <v>103</v>
      </c>
      <c r="W3" s="49" t="s">
        <v>104</v>
      </c>
      <c r="X3" s="49" t="s">
        <v>109</v>
      </c>
      <c r="Y3" s="49" t="s">
        <v>110</v>
      </c>
      <c r="Z3" s="49" t="s">
        <v>111</v>
      </c>
      <c r="AA3" s="49" t="s">
        <v>595</v>
      </c>
      <c r="AB3" s="101" t="s">
        <v>597</v>
      </c>
    </row>
    <row r="4" spans="1:28" s="119" customFormat="1" x14ac:dyDescent="0.15">
      <c r="B4" s="136" t="s">
        <v>957</v>
      </c>
      <c r="C4" s="113">
        <v>43116.70208333333</v>
      </c>
      <c r="D4" s="49" t="s">
        <v>112</v>
      </c>
      <c r="E4" s="49">
        <v>180116007</v>
      </c>
      <c r="F4" s="49">
        <v>25.2</v>
      </c>
      <c r="G4" s="49">
        <v>1</v>
      </c>
      <c r="H4" s="49">
        <v>9</v>
      </c>
      <c r="I4" s="49">
        <v>0</v>
      </c>
      <c r="J4" s="49">
        <v>3</v>
      </c>
      <c r="K4" s="49">
        <v>25750</v>
      </c>
      <c r="L4" s="49">
        <v>6240</v>
      </c>
      <c r="M4" s="49">
        <v>0</v>
      </c>
      <c r="N4" s="49">
        <v>19510</v>
      </c>
      <c r="O4" s="49">
        <v>0</v>
      </c>
      <c r="P4" s="49">
        <v>2622</v>
      </c>
      <c r="Q4" s="49">
        <v>0</v>
      </c>
      <c r="R4" s="49">
        <v>16888</v>
      </c>
      <c r="S4" s="49">
        <v>1.7</v>
      </c>
      <c r="T4" s="49">
        <v>28709.599999999999</v>
      </c>
      <c r="U4" s="49" t="s">
        <v>102</v>
      </c>
      <c r="V4" s="49" t="s">
        <v>103</v>
      </c>
      <c r="W4" s="49" t="s">
        <v>104</v>
      </c>
      <c r="X4" s="49" t="s">
        <v>113</v>
      </c>
      <c r="Y4" s="49" t="s">
        <v>114</v>
      </c>
      <c r="Z4" s="49" t="s">
        <v>115</v>
      </c>
      <c r="AA4" s="49" t="s">
        <v>595</v>
      </c>
      <c r="AB4" s="101" t="s">
        <v>598</v>
      </c>
    </row>
    <row r="5" spans="1:28" s="49" customFormat="1" x14ac:dyDescent="0.15">
      <c r="B5" s="136" t="s">
        <v>957</v>
      </c>
      <c r="C5" s="113">
        <v>43117.444444444445</v>
      </c>
      <c r="D5" s="49" t="s">
        <v>116</v>
      </c>
      <c r="E5" s="49">
        <v>180117001</v>
      </c>
      <c r="F5" s="49">
        <v>28</v>
      </c>
      <c r="G5" s="49">
        <v>1</v>
      </c>
      <c r="H5" s="49">
        <v>8</v>
      </c>
      <c r="I5" s="49">
        <v>1.3</v>
      </c>
      <c r="J5" s="49">
        <v>3.5</v>
      </c>
      <c r="K5" s="49">
        <v>32880</v>
      </c>
      <c r="L5" s="49">
        <v>8600</v>
      </c>
      <c r="M5" s="49">
        <v>0</v>
      </c>
      <c r="N5" s="49">
        <v>24280</v>
      </c>
      <c r="O5" s="49">
        <v>0</v>
      </c>
      <c r="P5" s="49">
        <v>4079</v>
      </c>
      <c r="Q5" s="49">
        <v>0</v>
      </c>
      <c r="R5" s="49">
        <v>20201</v>
      </c>
      <c r="S5" s="49">
        <v>1.72</v>
      </c>
      <c r="T5" s="49">
        <v>34745.72</v>
      </c>
      <c r="U5" s="49" t="s">
        <v>102</v>
      </c>
      <c r="V5" s="49" t="s">
        <v>103</v>
      </c>
      <c r="W5" s="49" t="s">
        <v>104</v>
      </c>
      <c r="X5" s="49" t="s">
        <v>118</v>
      </c>
      <c r="Y5" s="49" t="s">
        <v>117</v>
      </c>
      <c r="Z5" s="49" t="s">
        <v>119</v>
      </c>
      <c r="AA5" s="49" t="s">
        <v>595</v>
      </c>
      <c r="AB5" s="101" t="s">
        <v>599</v>
      </c>
    </row>
    <row r="6" spans="1:28" s="49" customFormat="1" x14ac:dyDescent="0.15">
      <c r="B6" s="136" t="s">
        <v>957</v>
      </c>
      <c r="C6" s="113">
        <v>43117.547222222223</v>
      </c>
      <c r="D6" s="49" t="s">
        <v>129</v>
      </c>
      <c r="E6" s="49">
        <v>180117003</v>
      </c>
      <c r="F6" s="49">
        <v>25.5</v>
      </c>
      <c r="G6" s="49">
        <v>1</v>
      </c>
      <c r="H6" s="49">
        <v>7</v>
      </c>
      <c r="I6" s="49">
        <v>0</v>
      </c>
      <c r="J6" s="49">
        <v>2</v>
      </c>
      <c r="K6" s="49">
        <v>25020</v>
      </c>
      <c r="L6" s="49">
        <v>11340</v>
      </c>
      <c r="M6" s="49">
        <v>0</v>
      </c>
      <c r="N6" s="49">
        <v>13680</v>
      </c>
      <c r="O6" s="49">
        <v>0</v>
      </c>
      <c r="P6" s="49">
        <v>1888</v>
      </c>
      <c r="Q6" s="49">
        <v>0</v>
      </c>
      <c r="R6" s="49">
        <v>11792</v>
      </c>
      <c r="S6" s="49">
        <v>1.72</v>
      </c>
      <c r="T6" s="49">
        <v>20282.239999999998</v>
      </c>
      <c r="X6" s="49" t="s">
        <v>126</v>
      </c>
      <c r="Y6" s="49" t="s">
        <v>127</v>
      </c>
      <c r="Z6" s="49" t="s">
        <v>128</v>
      </c>
      <c r="AA6" s="49" t="s">
        <v>595</v>
      </c>
      <c r="AB6" s="101" t="s">
        <v>600</v>
      </c>
    </row>
    <row r="7" spans="1:28" s="49" customFormat="1" x14ac:dyDescent="0.15">
      <c r="B7" s="136" t="s">
        <v>957</v>
      </c>
      <c r="C7" s="113">
        <v>43117.55972222222</v>
      </c>
      <c r="D7" s="49" t="s">
        <v>123</v>
      </c>
      <c r="E7" s="49">
        <v>180117002</v>
      </c>
      <c r="F7" s="49">
        <v>27</v>
      </c>
      <c r="G7" s="49">
        <v>1</v>
      </c>
      <c r="H7" s="49">
        <v>9</v>
      </c>
      <c r="I7" s="49">
        <v>2</v>
      </c>
      <c r="J7" s="49">
        <v>5</v>
      </c>
      <c r="K7" s="49">
        <v>28530</v>
      </c>
      <c r="L7" s="49">
        <v>7610</v>
      </c>
      <c r="M7" s="49">
        <v>0</v>
      </c>
      <c r="N7" s="49">
        <v>20920</v>
      </c>
      <c r="O7" s="49">
        <v>0</v>
      </c>
      <c r="P7" s="49">
        <v>3264</v>
      </c>
      <c r="Q7" s="49">
        <v>0</v>
      </c>
      <c r="R7" s="49">
        <v>17656</v>
      </c>
      <c r="S7" s="49">
        <v>1.72</v>
      </c>
      <c r="T7" s="49">
        <v>30368.32</v>
      </c>
      <c r="X7" s="49" t="s">
        <v>124</v>
      </c>
      <c r="Y7" s="49" t="s">
        <v>125</v>
      </c>
      <c r="Z7" s="49" t="s">
        <v>122</v>
      </c>
      <c r="AA7" s="49" t="s">
        <v>601</v>
      </c>
      <c r="AB7" s="101" t="s">
        <v>602</v>
      </c>
    </row>
    <row r="8" spans="1:28" s="49" customFormat="1" x14ac:dyDescent="0.15">
      <c r="B8" s="136" t="s">
        <v>957</v>
      </c>
      <c r="C8" s="113">
        <v>43117.594444444447</v>
      </c>
      <c r="D8" s="49" t="s">
        <v>131</v>
      </c>
      <c r="E8" s="49">
        <v>180117004</v>
      </c>
      <c r="F8" s="49">
        <v>26</v>
      </c>
      <c r="G8" s="49">
        <v>1</v>
      </c>
      <c r="H8" s="49">
        <v>9</v>
      </c>
      <c r="I8" s="49">
        <v>1</v>
      </c>
      <c r="J8" s="49">
        <v>4</v>
      </c>
      <c r="K8" s="49">
        <v>22060</v>
      </c>
      <c r="L8" s="49">
        <v>7180</v>
      </c>
      <c r="M8" s="49">
        <v>0</v>
      </c>
      <c r="N8" s="49">
        <v>14880</v>
      </c>
      <c r="O8" s="49">
        <v>0</v>
      </c>
      <c r="P8" s="49">
        <v>2143</v>
      </c>
      <c r="Q8" s="49">
        <v>0</v>
      </c>
      <c r="R8" s="49">
        <v>12737</v>
      </c>
      <c r="S8" s="49">
        <v>1.72</v>
      </c>
      <c r="T8" s="49">
        <v>21907.64</v>
      </c>
      <c r="X8" s="49" t="s">
        <v>132</v>
      </c>
      <c r="Y8" s="49" t="s">
        <v>133</v>
      </c>
      <c r="Z8" s="49" t="s">
        <v>134</v>
      </c>
      <c r="AA8" s="49" t="s">
        <v>601</v>
      </c>
      <c r="AB8" s="101" t="s">
        <v>603</v>
      </c>
    </row>
    <row r="9" spans="1:28" s="49" customFormat="1" x14ac:dyDescent="0.15">
      <c r="B9" s="136" t="s">
        <v>957</v>
      </c>
      <c r="C9" s="113">
        <v>43117.696527777778</v>
      </c>
      <c r="D9" s="49" t="s">
        <v>142</v>
      </c>
      <c r="E9" s="49">
        <v>180117006</v>
      </c>
      <c r="F9" s="49">
        <v>24.5</v>
      </c>
      <c r="G9" s="49">
        <v>1</v>
      </c>
      <c r="H9" s="49">
        <v>7</v>
      </c>
      <c r="I9" s="49">
        <v>0</v>
      </c>
      <c r="J9" s="49">
        <v>2</v>
      </c>
      <c r="K9" s="49">
        <v>32450</v>
      </c>
      <c r="L9" s="49">
        <v>10630</v>
      </c>
      <c r="M9" s="49">
        <v>0</v>
      </c>
      <c r="N9" s="49">
        <v>21820</v>
      </c>
      <c r="O9" s="49">
        <v>0</v>
      </c>
      <c r="P9" s="49">
        <v>2749</v>
      </c>
      <c r="Q9" s="49">
        <v>0</v>
      </c>
      <c r="R9" s="49">
        <v>19071</v>
      </c>
      <c r="S9" s="49">
        <v>1.72</v>
      </c>
      <c r="T9" s="49">
        <v>32802.120000000003</v>
      </c>
      <c r="X9" s="49" t="s">
        <v>140</v>
      </c>
      <c r="Y9" s="49" t="s">
        <v>135</v>
      </c>
      <c r="Z9" s="49" t="s">
        <v>141</v>
      </c>
      <c r="AA9" s="49" t="s">
        <v>595</v>
      </c>
      <c r="AB9" s="101" t="s">
        <v>604</v>
      </c>
    </row>
    <row r="10" spans="1:28" s="117" customFormat="1" x14ac:dyDescent="0.15">
      <c r="B10" s="136" t="s">
        <v>957</v>
      </c>
      <c r="C10" s="113">
        <v>43117.715277777781</v>
      </c>
      <c r="D10" s="49" t="s">
        <v>136</v>
      </c>
      <c r="E10" s="49">
        <v>180117009</v>
      </c>
      <c r="F10" s="49">
        <v>27</v>
      </c>
      <c r="G10" s="49">
        <v>1.2</v>
      </c>
      <c r="H10" s="49">
        <v>12</v>
      </c>
      <c r="I10" s="49">
        <v>3</v>
      </c>
      <c r="J10" s="49">
        <v>9.8000000000000007</v>
      </c>
      <c r="K10" s="49">
        <v>32410</v>
      </c>
      <c r="L10" s="49">
        <v>11040</v>
      </c>
      <c r="M10" s="49">
        <v>43</v>
      </c>
      <c r="N10" s="49">
        <v>21370</v>
      </c>
      <c r="O10" s="49">
        <v>43</v>
      </c>
      <c r="P10" s="49">
        <v>3334</v>
      </c>
      <c r="Q10" s="49">
        <v>203</v>
      </c>
      <c r="R10" s="49">
        <v>17747</v>
      </c>
      <c r="S10" s="49">
        <v>1.72</v>
      </c>
      <c r="T10" s="49">
        <v>30524.84</v>
      </c>
      <c r="U10" s="49"/>
      <c r="V10" s="49"/>
      <c r="W10" s="49"/>
      <c r="X10" s="49" t="s">
        <v>137</v>
      </c>
      <c r="Y10" s="49" t="s">
        <v>138</v>
      </c>
      <c r="Z10" s="49" t="s">
        <v>139</v>
      </c>
      <c r="AA10" s="49" t="s">
        <v>595</v>
      </c>
      <c r="AB10" s="101" t="s">
        <v>143</v>
      </c>
    </row>
    <row r="11" spans="1:28" s="49" customFormat="1" x14ac:dyDescent="0.15">
      <c r="B11" s="136" t="s">
        <v>957</v>
      </c>
      <c r="C11" s="113">
        <v>43118.431944444441</v>
      </c>
      <c r="D11" s="49" t="s">
        <v>148</v>
      </c>
      <c r="E11" s="49">
        <v>180118003</v>
      </c>
      <c r="F11" s="49">
        <v>28</v>
      </c>
      <c r="G11" s="49">
        <v>1.2</v>
      </c>
      <c r="H11" s="49">
        <v>9</v>
      </c>
      <c r="I11" s="49">
        <v>1</v>
      </c>
      <c r="J11" s="49">
        <v>3</v>
      </c>
      <c r="K11" s="49">
        <v>54480</v>
      </c>
      <c r="L11" s="49">
        <v>13840</v>
      </c>
      <c r="M11" s="49">
        <v>81</v>
      </c>
      <c r="N11" s="49">
        <v>40640</v>
      </c>
      <c r="O11" s="49">
        <v>0</v>
      </c>
      <c r="P11" s="49">
        <v>6828</v>
      </c>
      <c r="Q11" s="49">
        <v>0</v>
      </c>
      <c r="R11" s="49">
        <v>33731</v>
      </c>
      <c r="S11" s="49">
        <v>1.72</v>
      </c>
      <c r="T11" s="49">
        <v>58017.32</v>
      </c>
      <c r="X11" s="49" t="s">
        <v>149</v>
      </c>
      <c r="Y11" s="49" t="s">
        <v>150</v>
      </c>
      <c r="Z11" s="49" t="s">
        <v>151</v>
      </c>
      <c r="AA11" s="49" t="s">
        <v>605</v>
      </c>
      <c r="AB11" s="101" t="s">
        <v>606</v>
      </c>
    </row>
    <row r="12" spans="1:28" s="49" customFormat="1" x14ac:dyDescent="0.15">
      <c r="B12" s="136" t="s">
        <v>957</v>
      </c>
      <c r="C12" s="113">
        <v>43118.444444444445</v>
      </c>
      <c r="D12" s="49" t="s">
        <v>144</v>
      </c>
      <c r="E12" s="49">
        <v>180118002</v>
      </c>
      <c r="F12" s="49">
        <v>29</v>
      </c>
      <c r="G12" s="49">
        <v>1.5</v>
      </c>
      <c r="H12" s="49">
        <v>8</v>
      </c>
      <c r="I12" s="49">
        <v>0</v>
      </c>
      <c r="J12" s="49">
        <v>3</v>
      </c>
      <c r="K12" s="49">
        <v>83380</v>
      </c>
      <c r="L12" s="49">
        <v>16730</v>
      </c>
      <c r="M12" s="49">
        <v>333</v>
      </c>
      <c r="N12" s="49">
        <v>66650</v>
      </c>
      <c r="O12" s="49">
        <v>0</v>
      </c>
      <c r="P12" s="49">
        <v>11997</v>
      </c>
      <c r="Q12" s="49">
        <v>0</v>
      </c>
      <c r="R12" s="49">
        <v>54320</v>
      </c>
      <c r="S12" s="49">
        <v>1.72</v>
      </c>
      <c r="T12" s="49">
        <v>93430.399999999994</v>
      </c>
      <c r="X12" s="49" t="s">
        <v>145</v>
      </c>
      <c r="Y12" s="49" t="s">
        <v>146</v>
      </c>
      <c r="Z12" s="49" t="s">
        <v>147</v>
      </c>
      <c r="AA12" s="49" t="s">
        <v>595</v>
      </c>
      <c r="AB12" s="101" t="s">
        <v>607</v>
      </c>
    </row>
    <row r="13" spans="1:28" s="49" customFormat="1" x14ac:dyDescent="0.15">
      <c r="B13" s="136" t="s">
        <v>957</v>
      </c>
      <c r="C13" s="113">
        <v>43118.488194444442</v>
      </c>
      <c r="D13" s="49" t="s">
        <v>152</v>
      </c>
      <c r="E13" s="49">
        <v>180118006</v>
      </c>
      <c r="F13" s="49">
        <v>28.1</v>
      </c>
      <c r="G13" s="49">
        <v>1.2</v>
      </c>
      <c r="H13" s="49">
        <v>8</v>
      </c>
      <c r="I13" s="49">
        <v>0</v>
      </c>
      <c r="J13" s="49">
        <v>3</v>
      </c>
      <c r="K13" s="49">
        <v>83140</v>
      </c>
      <c r="L13" s="49">
        <v>17090</v>
      </c>
      <c r="M13" s="49">
        <v>132</v>
      </c>
      <c r="N13" s="49">
        <v>66050</v>
      </c>
      <c r="O13" s="49">
        <v>0</v>
      </c>
      <c r="P13" s="49">
        <v>11176</v>
      </c>
      <c r="Q13" s="49">
        <v>0</v>
      </c>
      <c r="R13" s="49">
        <v>54742</v>
      </c>
      <c r="S13" s="49">
        <v>1.72</v>
      </c>
      <c r="T13" s="49">
        <v>94156.24</v>
      </c>
      <c r="X13" s="49" t="s">
        <v>145</v>
      </c>
      <c r="Y13" s="49" t="s">
        <v>146</v>
      </c>
      <c r="Z13" s="49" t="s">
        <v>147</v>
      </c>
      <c r="AA13" s="49" t="s">
        <v>595</v>
      </c>
      <c r="AB13" s="101" t="s">
        <v>607</v>
      </c>
    </row>
    <row r="14" spans="1:28" s="49" customFormat="1" x14ac:dyDescent="0.15">
      <c r="B14" s="136" t="s">
        <v>957</v>
      </c>
      <c r="C14" s="113">
        <v>43118.494444444441</v>
      </c>
      <c r="D14" s="49" t="s">
        <v>154</v>
      </c>
      <c r="E14" s="49">
        <v>180118009</v>
      </c>
      <c r="F14" s="49">
        <v>23.3</v>
      </c>
      <c r="G14" s="49">
        <v>1</v>
      </c>
      <c r="H14" s="49">
        <v>7</v>
      </c>
      <c r="I14" s="49">
        <v>0</v>
      </c>
      <c r="J14" s="49">
        <v>2</v>
      </c>
      <c r="K14" s="49">
        <v>33420</v>
      </c>
      <c r="L14" s="49">
        <v>10260</v>
      </c>
      <c r="M14" s="49">
        <v>0</v>
      </c>
      <c r="N14" s="49">
        <v>23160</v>
      </c>
      <c r="O14" s="49">
        <v>0</v>
      </c>
      <c r="P14" s="49">
        <v>2585</v>
      </c>
      <c r="Q14" s="49">
        <v>0</v>
      </c>
      <c r="R14" s="49">
        <v>20575</v>
      </c>
      <c r="S14" s="49">
        <v>1.72</v>
      </c>
      <c r="T14" s="49">
        <v>35389</v>
      </c>
      <c r="X14" s="49" t="s">
        <v>155</v>
      </c>
      <c r="Y14" s="49" t="s">
        <v>156</v>
      </c>
      <c r="Z14" s="49" t="s">
        <v>157</v>
      </c>
      <c r="AA14" s="49" t="s">
        <v>595</v>
      </c>
      <c r="AB14" s="101" t="s">
        <v>608</v>
      </c>
    </row>
    <row r="15" spans="1:28" s="49" customFormat="1" x14ac:dyDescent="0.15">
      <c r="B15" s="136" t="s">
        <v>957</v>
      </c>
      <c r="C15" s="113">
        <v>43118.500694444447</v>
      </c>
      <c r="D15" s="49" t="s">
        <v>158</v>
      </c>
      <c r="E15" s="49">
        <v>180118010</v>
      </c>
      <c r="F15" s="49">
        <v>26.9</v>
      </c>
      <c r="G15" s="49">
        <v>1</v>
      </c>
      <c r="H15" s="49">
        <v>9</v>
      </c>
      <c r="I15" s="49">
        <v>0</v>
      </c>
      <c r="J15" s="49">
        <v>4.5</v>
      </c>
      <c r="K15" s="49">
        <v>32010</v>
      </c>
      <c r="L15" s="49">
        <v>11270</v>
      </c>
      <c r="M15" s="49">
        <v>0</v>
      </c>
      <c r="N15" s="49">
        <v>20740</v>
      </c>
      <c r="O15" s="49">
        <v>0</v>
      </c>
      <c r="P15" s="49">
        <v>3211</v>
      </c>
      <c r="Q15" s="49">
        <v>0</v>
      </c>
      <c r="R15" s="49">
        <v>17529</v>
      </c>
      <c r="S15" s="49">
        <v>1.72</v>
      </c>
      <c r="T15" s="49">
        <v>30149.88</v>
      </c>
      <c r="X15" s="49" t="s">
        <v>137</v>
      </c>
      <c r="Y15" s="49" t="s">
        <v>138</v>
      </c>
      <c r="Z15" s="49" t="s">
        <v>139</v>
      </c>
      <c r="AA15" s="49" t="s">
        <v>595</v>
      </c>
      <c r="AB15" s="101" t="s">
        <v>609</v>
      </c>
    </row>
    <row r="16" spans="1:28" s="49" customFormat="1" x14ac:dyDescent="0.15">
      <c r="B16" s="136" t="s">
        <v>957</v>
      </c>
      <c r="C16" s="113">
        <v>43118.510416666664</v>
      </c>
      <c r="D16" s="49" t="s">
        <v>153</v>
      </c>
      <c r="E16" s="49">
        <v>180118007</v>
      </c>
      <c r="F16" s="49">
        <v>29.2</v>
      </c>
      <c r="G16" s="49">
        <v>1</v>
      </c>
      <c r="H16" s="49">
        <v>8</v>
      </c>
      <c r="I16" s="49">
        <v>0</v>
      </c>
      <c r="J16" s="49">
        <v>3</v>
      </c>
      <c r="K16" s="49">
        <v>78900</v>
      </c>
      <c r="L16" s="49">
        <v>16940</v>
      </c>
      <c r="M16" s="49">
        <v>0</v>
      </c>
      <c r="N16" s="49">
        <v>61960</v>
      </c>
      <c r="O16" s="49">
        <v>0</v>
      </c>
      <c r="P16" s="49">
        <v>11302</v>
      </c>
      <c r="Q16" s="49">
        <v>0</v>
      </c>
      <c r="R16" s="49">
        <v>50658</v>
      </c>
      <c r="S16" s="49">
        <v>1.72</v>
      </c>
      <c r="T16" s="49">
        <v>87131.76</v>
      </c>
      <c r="X16" s="49" t="s">
        <v>145</v>
      </c>
      <c r="Y16" s="49" t="s">
        <v>146</v>
      </c>
      <c r="Z16" s="49" t="s">
        <v>147</v>
      </c>
      <c r="AA16" s="49" t="s">
        <v>595</v>
      </c>
      <c r="AB16" s="101" t="s">
        <v>607</v>
      </c>
    </row>
    <row r="17" spans="2:28" s="49" customFormat="1" x14ac:dyDescent="0.15">
      <c r="B17" s="136" t="s">
        <v>957</v>
      </c>
      <c r="C17" s="113">
        <v>43118.535416666666</v>
      </c>
      <c r="D17" s="49" t="s">
        <v>131</v>
      </c>
      <c r="E17" s="49">
        <v>180118011</v>
      </c>
      <c r="F17" s="49">
        <v>26.3</v>
      </c>
      <c r="G17" s="49">
        <v>1</v>
      </c>
      <c r="H17" s="49">
        <v>14</v>
      </c>
      <c r="I17" s="49">
        <v>3</v>
      </c>
      <c r="J17" s="49">
        <v>11</v>
      </c>
      <c r="K17" s="49">
        <v>21770</v>
      </c>
      <c r="L17" s="49">
        <v>7140</v>
      </c>
      <c r="M17" s="49">
        <v>0</v>
      </c>
      <c r="N17" s="49">
        <v>14630</v>
      </c>
      <c r="O17" s="49">
        <v>88</v>
      </c>
      <c r="P17" s="49">
        <v>2159</v>
      </c>
      <c r="Q17" s="49">
        <v>183</v>
      </c>
      <c r="R17" s="49">
        <v>12200</v>
      </c>
      <c r="S17" s="49">
        <v>1.72</v>
      </c>
      <c r="T17" s="49">
        <v>20984</v>
      </c>
      <c r="X17" s="49" t="s">
        <v>159</v>
      </c>
      <c r="Y17" s="49" t="s">
        <v>133</v>
      </c>
      <c r="Z17" s="49" t="s">
        <v>160</v>
      </c>
      <c r="AA17" s="49" t="s">
        <v>595</v>
      </c>
      <c r="AB17" s="101" t="s">
        <v>603</v>
      </c>
    </row>
    <row r="18" spans="2:28" s="49" customFormat="1" x14ac:dyDescent="0.15">
      <c r="B18" s="136" t="s">
        <v>957</v>
      </c>
      <c r="C18" s="113">
        <v>43118.587500000001</v>
      </c>
      <c r="D18" s="49" t="s">
        <v>165</v>
      </c>
      <c r="E18" s="49">
        <v>180118015</v>
      </c>
      <c r="F18" s="49">
        <v>30.3</v>
      </c>
      <c r="G18" s="49">
        <v>1</v>
      </c>
      <c r="H18" s="49">
        <v>13</v>
      </c>
      <c r="I18" s="49">
        <v>2.6</v>
      </c>
      <c r="J18" s="49">
        <v>9.4</v>
      </c>
      <c r="K18" s="49">
        <v>19190</v>
      </c>
      <c r="L18" s="49">
        <v>11060</v>
      </c>
      <c r="M18" s="49">
        <v>0</v>
      </c>
      <c r="N18" s="49">
        <v>8130</v>
      </c>
      <c r="O18" s="49">
        <v>33</v>
      </c>
      <c r="P18" s="49">
        <v>1590</v>
      </c>
      <c r="Q18" s="49">
        <v>0</v>
      </c>
      <c r="R18" s="49">
        <v>6507</v>
      </c>
      <c r="S18" s="49">
        <v>1.72</v>
      </c>
      <c r="T18" s="49">
        <v>11192.039999999999</v>
      </c>
      <c r="X18" s="49" t="s">
        <v>137</v>
      </c>
      <c r="Y18" s="49" t="s">
        <v>138</v>
      </c>
      <c r="Z18" s="49" t="s">
        <v>139</v>
      </c>
      <c r="AA18" s="49" t="s">
        <v>595</v>
      </c>
      <c r="AB18" s="101" t="s">
        <v>609</v>
      </c>
    </row>
    <row r="19" spans="2:28" s="49" customFormat="1" x14ac:dyDescent="0.15">
      <c r="B19" s="136" t="s">
        <v>957</v>
      </c>
      <c r="C19" s="113">
        <v>43118.607638888891</v>
      </c>
      <c r="D19" s="49" t="s">
        <v>161</v>
      </c>
      <c r="E19" s="49">
        <v>180118014</v>
      </c>
      <c r="F19" s="49">
        <v>29.8</v>
      </c>
      <c r="G19" s="49">
        <v>1</v>
      </c>
      <c r="H19" s="49">
        <v>8</v>
      </c>
      <c r="I19" s="49">
        <v>0</v>
      </c>
      <c r="J19" s="49">
        <v>3</v>
      </c>
      <c r="K19" s="49">
        <v>31840</v>
      </c>
      <c r="L19" s="49">
        <v>7230</v>
      </c>
      <c r="M19" s="49">
        <v>0</v>
      </c>
      <c r="N19" s="49">
        <v>24610</v>
      </c>
      <c r="O19" s="49">
        <v>0</v>
      </c>
      <c r="P19" s="49">
        <v>4666</v>
      </c>
      <c r="Q19" s="49">
        <v>0</v>
      </c>
      <c r="R19" s="49">
        <v>19944</v>
      </c>
      <c r="S19" s="49">
        <v>1.72</v>
      </c>
      <c r="T19" s="49">
        <v>34303.68</v>
      </c>
      <c r="X19" s="49" t="s">
        <v>162</v>
      </c>
      <c r="Y19" s="49" t="s">
        <v>163</v>
      </c>
      <c r="Z19" s="49" t="s">
        <v>164</v>
      </c>
      <c r="AA19" s="49" t="s">
        <v>595</v>
      </c>
      <c r="AB19" s="101" t="s">
        <v>610</v>
      </c>
    </row>
    <row r="20" spans="2:28" s="107" customFormat="1" x14ac:dyDescent="0.15">
      <c r="B20" s="136" t="s">
        <v>957</v>
      </c>
      <c r="C20" s="113">
        <v>43118.643750000003</v>
      </c>
      <c r="D20" s="49" t="s">
        <v>166</v>
      </c>
      <c r="E20" s="49">
        <v>180118017</v>
      </c>
      <c r="F20" s="49">
        <v>23</v>
      </c>
      <c r="G20" s="49">
        <v>1</v>
      </c>
      <c r="H20" s="49">
        <v>7</v>
      </c>
      <c r="I20" s="49">
        <v>0</v>
      </c>
      <c r="J20" s="49">
        <v>2</v>
      </c>
      <c r="K20" s="49">
        <v>33600</v>
      </c>
      <c r="L20" s="49">
        <v>10310</v>
      </c>
      <c r="M20" s="49">
        <v>0</v>
      </c>
      <c r="N20" s="49">
        <v>23290</v>
      </c>
      <c r="O20" s="49">
        <v>0</v>
      </c>
      <c r="P20" s="49">
        <v>2515</v>
      </c>
      <c r="Q20" s="49">
        <v>0</v>
      </c>
      <c r="R20" s="49">
        <v>20775</v>
      </c>
      <c r="S20" s="49">
        <v>1.72</v>
      </c>
      <c r="T20" s="49">
        <v>35733</v>
      </c>
      <c r="U20" s="49"/>
      <c r="V20" s="49"/>
      <c r="W20" s="49"/>
      <c r="X20" s="49" t="s">
        <v>155</v>
      </c>
      <c r="Y20" s="49" t="s">
        <v>156</v>
      </c>
      <c r="Z20" s="49" t="s">
        <v>157</v>
      </c>
      <c r="AA20" s="49" t="s">
        <v>595</v>
      </c>
      <c r="AB20" s="101" t="s">
        <v>608</v>
      </c>
    </row>
    <row r="21" spans="2:28" s="49" customFormat="1" x14ac:dyDescent="0.15">
      <c r="B21" s="136" t="s">
        <v>957</v>
      </c>
      <c r="C21" s="106">
        <v>43118.65</v>
      </c>
      <c r="D21" s="107" t="s">
        <v>116</v>
      </c>
      <c r="E21" s="107">
        <v>180118016</v>
      </c>
      <c r="F21" s="107">
        <v>24.3</v>
      </c>
      <c r="G21" s="107">
        <v>1</v>
      </c>
      <c r="H21" s="107">
        <v>7</v>
      </c>
      <c r="I21" s="107">
        <v>0</v>
      </c>
      <c r="J21" s="107">
        <v>3</v>
      </c>
      <c r="K21" s="107">
        <v>33120</v>
      </c>
      <c r="L21" s="107">
        <v>8540</v>
      </c>
      <c r="M21" s="107">
        <v>0</v>
      </c>
      <c r="N21" s="48">
        <v>24580</v>
      </c>
      <c r="O21" s="107">
        <v>0</v>
      </c>
      <c r="P21" s="107">
        <v>3038</v>
      </c>
      <c r="Q21" s="107">
        <v>0</v>
      </c>
      <c r="R21" s="107">
        <v>21542</v>
      </c>
      <c r="S21" s="107">
        <v>1.72</v>
      </c>
      <c r="T21" s="107">
        <v>37052.239999999998</v>
      </c>
      <c r="U21" s="107"/>
      <c r="V21" s="107"/>
      <c r="W21" s="107"/>
      <c r="X21" s="107" t="s">
        <v>118</v>
      </c>
      <c r="Y21" s="107" t="s">
        <v>117</v>
      </c>
      <c r="Z21" s="107" t="s">
        <v>119</v>
      </c>
      <c r="AA21" s="107" t="s">
        <v>595</v>
      </c>
      <c r="AB21" s="108" t="s">
        <v>599</v>
      </c>
    </row>
    <row r="22" spans="2:28" s="49" customFormat="1" ht="13.5" customHeight="1" x14ac:dyDescent="0.15">
      <c r="B22" s="136" t="s">
        <v>957</v>
      </c>
      <c r="C22" s="113">
        <v>43118.677777777775</v>
      </c>
      <c r="D22" s="49" t="s">
        <v>167</v>
      </c>
      <c r="E22" s="49">
        <v>180118018</v>
      </c>
      <c r="F22" s="49">
        <v>25.3</v>
      </c>
      <c r="G22" s="49">
        <v>1</v>
      </c>
      <c r="H22" s="49">
        <v>8.5</v>
      </c>
      <c r="I22" s="49">
        <v>2</v>
      </c>
      <c r="J22" s="49">
        <v>4.5</v>
      </c>
      <c r="K22" s="49">
        <v>26620</v>
      </c>
      <c r="L22" s="49">
        <v>7300</v>
      </c>
      <c r="M22" s="49">
        <v>0</v>
      </c>
      <c r="N22" s="49">
        <v>19320</v>
      </c>
      <c r="O22" s="49">
        <v>0</v>
      </c>
      <c r="P22" s="49">
        <v>2620</v>
      </c>
      <c r="Q22" s="49">
        <v>0</v>
      </c>
      <c r="R22" s="49">
        <v>16700</v>
      </c>
      <c r="S22" s="49">
        <v>1.72</v>
      </c>
      <c r="T22" s="49">
        <v>28724</v>
      </c>
      <c r="X22" s="49" t="s">
        <v>168</v>
      </c>
      <c r="Y22" s="49" t="s">
        <v>169</v>
      </c>
      <c r="Z22" s="49" t="s">
        <v>170</v>
      </c>
      <c r="AA22" s="107" t="s">
        <v>595</v>
      </c>
      <c r="AB22" s="101" t="s">
        <v>611</v>
      </c>
    </row>
    <row r="23" spans="2:28" s="117" customFormat="1" x14ac:dyDescent="0.15">
      <c r="B23" s="136" t="s">
        <v>957</v>
      </c>
      <c r="C23" s="113">
        <v>43118.705555555556</v>
      </c>
      <c r="D23" s="49" t="s">
        <v>171</v>
      </c>
      <c r="E23" s="49">
        <v>180118019</v>
      </c>
      <c r="F23" s="49">
        <v>27</v>
      </c>
      <c r="G23" s="49">
        <v>1</v>
      </c>
      <c r="H23" s="49">
        <v>7</v>
      </c>
      <c r="I23" s="49">
        <v>0</v>
      </c>
      <c r="J23" s="49">
        <v>2</v>
      </c>
      <c r="K23" s="49">
        <v>33990</v>
      </c>
      <c r="L23" s="49">
        <v>9310</v>
      </c>
      <c r="M23" s="49">
        <v>0</v>
      </c>
      <c r="N23" s="49">
        <v>24680</v>
      </c>
      <c r="O23" s="49">
        <v>0</v>
      </c>
      <c r="P23" s="49">
        <v>3850</v>
      </c>
      <c r="Q23" s="49">
        <v>0</v>
      </c>
      <c r="R23" s="49">
        <v>20830</v>
      </c>
      <c r="S23" s="49">
        <v>1.72</v>
      </c>
      <c r="T23" s="49">
        <v>35827.599999999999</v>
      </c>
      <c r="U23" s="49"/>
      <c r="V23" s="49"/>
      <c r="W23" s="49"/>
      <c r="X23" s="49" t="s">
        <v>172</v>
      </c>
      <c r="Y23" s="49" t="s">
        <v>173</v>
      </c>
      <c r="Z23" s="49" t="s">
        <v>174</v>
      </c>
      <c r="AA23" s="49" t="s">
        <v>595</v>
      </c>
      <c r="AB23" s="101" t="s">
        <v>612</v>
      </c>
    </row>
    <row r="24" spans="2:28" s="49" customFormat="1" x14ac:dyDescent="0.15">
      <c r="B24" s="136" t="s">
        <v>957</v>
      </c>
      <c r="C24" s="113">
        <v>43119.42083333333</v>
      </c>
      <c r="D24" s="49" t="s">
        <v>175</v>
      </c>
      <c r="E24" s="49">
        <v>180119001</v>
      </c>
      <c r="F24" s="49">
        <v>25.4</v>
      </c>
      <c r="G24" s="49">
        <v>1</v>
      </c>
      <c r="H24" s="49">
        <v>8.5</v>
      </c>
      <c r="I24" s="49">
        <v>0</v>
      </c>
      <c r="J24" s="49">
        <v>3</v>
      </c>
      <c r="K24" s="49">
        <v>90530</v>
      </c>
      <c r="L24" s="49">
        <v>17470</v>
      </c>
      <c r="M24" s="49">
        <v>0</v>
      </c>
      <c r="N24" s="49">
        <v>73060</v>
      </c>
      <c r="O24" s="49">
        <v>0</v>
      </c>
      <c r="P24" s="49">
        <v>9995</v>
      </c>
      <c r="Q24" s="49">
        <v>0</v>
      </c>
      <c r="R24" s="49">
        <v>63065</v>
      </c>
      <c r="S24" s="49">
        <v>1.72</v>
      </c>
      <c r="T24" s="49">
        <v>108471.8</v>
      </c>
      <c r="X24" s="49" t="s">
        <v>193</v>
      </c>
      <c r="Y24" s="49" t="s">
        <v>146</v>
      </c>
      <c r="Z24" s="49" t="s">
        <v>147</v>
      </c>
      <c r="AA24" s="49" t="s">
        <v>595</v>
      </c>
      <c r="AB24" s="101" t="s">
        <v>607</v>
      </c>
    </row>
    <row r="25" spans="2:28" s="49" customFormat="1" x14ac:dyDescent="0.15">
      <c r="B25" s="136" t="s">
        <v>957</v>
      </c>
      <c r="C25" s="113">
        <v>43119.428472222222</v>
      </c>
      <c r="D25" s="49" t="s">
        <v>176</v>
      </c>
      <c r="E25" s="49">
        <v>180119002</v>
      </c>
      <c r="F25" s="49">
        <v>26.5</v>
      </c>
      <c r="G25" s="49">
        <v>1.2</v>
      </c>
      <c r="H25" s="49">
        <v>8</v>
      </c>
      <c r="I25" s="49">
        <v>0</v>
      </c>
      <c r="J25" s="49">
        <v>3</v>
      </c>
      <c r="K25" s="49">
        <v>57780</v>
      </c>
      <c r="L25" s="49">
        <v>15550</v>
      </c>
      <c r="M25" s="49">
        <v>84</v>
      </c>
      <c r="N25" s="49">
        <v>42230</v>
      </c>
      <c r="O25" s="49">
        <v>0</v>
      </c>
      <c r="P25" s="49">
        <v>6335</v>
      </c>
      <c r="Q25" s="49">
        <v>0</v>
      </c>
      <c r="R25" s="49">
        <v>35811</v>
      </c>
      <c r="S25" s="49">
        <v>1.72</v>
      </c>
      <c r="T25" s="49">
        <v>61594.92</v>
      </c>
      <c r="X25" s="49" t="s">
        <v>177</v>
      </c>
      <c r="Y25" s="49" t="s">
        <v>178</v>
      </c>
      <c r="Z25" s="49" t="s">
        <v>179</v>
      </c>
      <c r="AA25" s="49" t="s">
        <v>595</v>
      </c>
      <c r="AB25" s="101" t="s">
        <v>613</v>
      </c>
    </row>
    <row r="26" spans="2:28" s="49" customFormat="1" x14ac:dyDescent="0.15">
      <c r="B26" s="136" t="s">
        <v>957</v>
      </c>
      <c r="C26" s="113">
        <v>43119.467361111114</v>
      </c>
      <c r="D26" s="49" t="s">
        <v>144</v>
      </c>
      <c r="E26" s="49">
        <v>180119007</v>
      </c>
      <c r="F26" s="49">
        <v>27.5</v>
      </c>
      <c r="G26" s="49">
        <v>1.2</v>
      </c>
      <c r="H26" s="49">
        <v>8</v>
      </c>
      <c r="I26" s="49">
        <v>0</v>
      </c>
      <c r="J26" s="49">
        <v>3</v>
      </c>
      <c r="K26" s="49">
        <v>81100</v>
      </c>
      <c r="L26" s="49">
        <v>16540</v>
      </c>
      <c r="M26" s="49">
        <v>129</v>
      </c>
      <c r="N26" s="49">
        <v>64560</v>
      </c>
      <c r="O26" s="49">
        <v>0</v>
      </c>
      <c r="P26" s="49">
        <v>10459</v>
      </c>
      <c r="Q26" s="49">
        <v>0</v>
      </c>
      <c r="R26" s="49">
        <v>53972</v>
      </c>
      <c r="S26" s="49">
        <v>1.72</v>
      </c>
      <c r="T26" s="49">
        <v>92831.84</v>
      </c>
      <c r="X26" s="49" t="s">
        <v>180</v>
      </c>
      <c r="Y26" s="49" t="s">
        <v>181</v>
      </c>
      <c r="Z26" s="49" t="s">
        <v>182</v>
      </c>
      <c r="AA26" s="49" t="s">
        <v>605</v>
      </c>
      <c r="AB26" s="101" t="s">
        <v>614</v>
      </c>
    </row>
    <row r="27" spans="2:28" s="49" customFormat="1" x14ac:dyDescent="0.15">
      <c r="B27" s="136" t="s">
        <v>957</v>
      </c>
      <c r="C27" s="113">
        <v>43119.474999999999</v>
      </c>
      <c r="D27" s="49" t="s">
        <v>183</v>
      </c>
      <c r="E27" s="49">
        <v>180119008</v>
      </c>
      <c r="F27" s="49">
        <v>25.9</v>
      </c>
      <c r="G27" s="49">
        <v>1</v>
      </c>
      <c r="H27" s="49">
        <v>8</v>
      </c>
      <c r="I27" s="49">
        <v>0</v>
      </c>
      <c r="J27" s="49">
        <v>3</v>
      </c>
      <c r="K27" s="49">
        <v>75020</v>
      </c>
      <c r="L27" s="49">
        <v>17490</v>
      </c>
      <c r="M27" s="49">
        <v>0</v>
      </c>
      <c r="N27" s="49">
        <v>57530</v>
      </c>
      <c r="O27" s="49">
        <v>0</v>
      </c>
      <c r="P27" s="49">
        <v>8215</v>
      </c>
      <c r="Q27" s="49">
        <v>0</v>
      </c>
      <c r="R27" s="49">
        <v>49315</v>
      </c>
      <c r="S27" s="49">
        <v>1.72</v>
      </c>
      <c r="T27" s="49">
        <v>84821.8</v>
      </c>
      <c r="X27" s="49" t="s">
        <v>180</v>
      </c>
      <c r="Y27" s="49" t="s">
        <v>181</v>
      </c>
      <c r="Z27" s="49" t="s">
        <v>182</v>
      </c>
      <c r="AA27" s="49" t="s">
        <v>605</v>
      </c>
      <c r="AB27" s="101" t="s">
        <v>614</v>
      </c>
    </row>
    <row r="28" spans="2:28" s="49" customFormat="1" x14ac:dyDescent="0.15">
      <c r="B28" s="136" t="s">
        <v>957</v>
      </c>
      <c r="C28" s="113">
        <v>43119.482638888891</v>
      </c>
      <c r="D28" s="49" t="s">
        <v>184</v>
      </c>
      <c r="E28" s="49">
        <v>180119009</v>
      </c>
      <c r="F28" s="49">
        <v>26.1</v>
      </c>
      <c r="G28" s="49">
        <v>1</v>
      </c>
      <c r="H28" s="49">
        <v>8</v>
      </c>
      <c r="I28" s="49">
        <v>0</v>
      </c>
      <c r="J28" s="49">
        <v>3</v>
      </c>
      <c r="K28" s="49">
        <v>50140</v>
      </c>
      <c r="L28" s="49">
        <v>14150</v>
      </c>
      <c r="M28" s="49">
        <v>0</v>
      </c>
      <c r="N28" s="49">
        <v>35990</v>
      </c>
      <c r="O28" s="49">
        <v>0</v>
      </c>
      <c r="P28" s="49">
        <v>5226</v>
      </c>
      <c r="Q28" s="49">
        <v>0</v>
      </c>
      <c r="R28" s="49">
        <v>30764</v>
      </c>
      <c r="S28" s="49">
        <v>1.72</v>
      </c>
      <c r="T28" s="49">
        <v>52914.080000000002</v>
      </c>
      <c r="X28" s="49" t="s">
        <v>185</v>
      </c>
      <c r="Y28" s="49" t="s">
        <v>186</v>
      </c>
      <c r="Z28" s="49" t="s">
        <v>187</v>
      </c>
      <c r="AA28" s="49" t="s">
        <v>595</v>
      </c>
      <c r="AB28" s="101" t="s">
        <v>615</v>
      </c>
    </row>
    <row r="29" spans="2:28" s="49" customFormat="1" x14ac:dyDescent="0.15">
      <c r="B29" s="136" t="s">
        <v>957</v>
      </c>
      <c r="C29" s="113">
        <v>43119.505555555559</v>
      </c>
      <c r="D29" s="49" t="s">
        <v>188</v>
      </c>
      <c r="E29" s="49">
        <v>180119010</v>
      </c>
      <c r="F29" s="49">
        <v>24.3</v>
      </c>
      <c r="G29" s="49">
        <v>1</v>
      </c>
      <c r="H29" s="49">
        <v>9</v>
      </c>
      <c r="I29" s="49">
        <v>1</v>
      </c>
      <c r="J29" s="49">
        <v>3</v>
      </c>
      <c r="K29" s="49">
        <v>50450</v>
      </c>
      <c r="L29" s="49">
        <v>13820</v>
      </c>
      <c r="M29" s="49">
        <v>0</v>
      </c>
      <c r="N29" s="49">
        <v>36630</v>
      </c>
      <c r="O29" s="49">
        <v>0</v>
      </c>
      <c r="P29" s="49">
        <v>4527</v>
      </c>
      <c r="Q29" s="49">
        <v>0</v>
      </c>
      <c r="R29" s="49">
        <v>32103</v>
      </c>
      <c r="S29" s="49">
        <v>1.72</v>
      </c>
      <c r="T29" s="49">
        <v>55217.159999999996</v>
      </c>
      <c r="X29" s="49" t="s">
        <v>189</v>
      </c>
      <c r="Y29" s="49" t="s">
        <v>190</v>
      </c>
      <c r="Z29" s="49" t="s">
        <v>191</v>
      </c>
      <c r="AA29" s="49" t="s">
        <v>595</v>
      </c>
      <c r="AB29" s="101" t="s">
        <v>616</v>
      </c>
    </row>
    <row r="30" spans="2:28" s="49" customFormat="1" x14ac:dyDescent="0.15">
      <c r="B30" s="136" t="s">
        <v>957</v>
      </c>
      <c r="C30" s="113">
        <v>43119.536805555559</v>
      </c>
      <c r="D30" s="49" t="s">
        <v>192</v>
      </c>
      <c r="E30" s="49">
        <v>180119011</v>
      </c>
      <c r="F30" s="49">
        <v>24.5</v>
      </c>
      <c r="G30" s="49">
        <v>1</v>
      </c>
      <c r="H30" s="49">
        <v>9</v>
      </c>
      <c r="I30" s="49">
        <v>1</v>
      </c>
      <c r="J30" s="49">
        <v>3</v>
      </c>
      <c r="K30" s="49">
        <v>51320</v>
      </c>
      <c r="L30" s="49">
        <v>14140</v>
      </c>
      <c r="M30" s="49">
        <v>0</v>
      </c>
      <c r="N30" s="49">
        <v>37180</v>
      </c>
      <c r="O30" s="49">
        <v>0</v>
      </c>
      <c r="P30" s="49">
        <v>4685</v>
      </c>
      <c r="Q30" s="49">
        <v>0</v>
      </c>
      <c r="R30" s="49">
        <v>32495</v>
      </c>
      <c r="S30" s="49">
        <v>1.72</v>
      </c>
      <c r="T30" s="49">
        <v>55891.4</v>
      </c>
      <c r="X30" s="49" t="s">
        <v>189</v>
      </c>
      <c r="Y30" s="49" t="s">
        <v>190</v>
      </c>
      <c r="Z30" s="49" t="s">
        <v>191</v>
      </c>
      <c r="AA30" s="49" t="s">
        <v>595</v>
      </c>
      <c r="AB30" s="101" t="s">
        <v>616</v>
      </c>
    </row>
    <row r="31" spans="2:28" s="49" customFormat="1" x14ac:dyDescent="0.15">
      <c r="B31" s="136" t="s">
        <v>957</v>
      </c>
      <c r="C31" s="113">
        <v>43119.564583333333</v>
      </c>
      <c r="D31" s="49" t="s">
        <v>208</v>
      </c>
      <c r="E31" s="49">
        <v>180119019</v>
      </c>
      <c r="F31" s="49">
        <v>29.5</v>
      </c>
      <c r="G31" s="49">
        <v>1</v>
      </c>
      <c r="H31" s="49">
        <v>9</v>
      </c>
      <c r="I31" s="49">
        <v>0</v>
      </c>
      <c r="J31" s="49">
        <v>4</v>
      </c>
      <c r="K31" s="49">
        <v>36690</v>
      </c>
      <c r="L31" s="49">
        <v>13330</v>
      </c>
      <c r="M31" s="49">
        <v>0</v>
      </c>
      <c r="N31" s="49">
        <v>23360</v>
      </c>
      <c r="O31" s="49">
        <v>0</v>
      </c>
      <c r="P31" s="49">
        <v>4345</v>
      </c>
      <c r="Q31" s="49">
        <v>0</v>
      </c>
      <c r="R31" s="49">
        <v>19015</v>
      </c>
      <c r="S31" s="49">
        <v>1.72</v>
      </c>
      <c r="T31" s="49">
        <v>32705.8</v>
      </c>
      <c r="X31" s="49" t="s">
        <v>205</v>
      </c>
      <c r="Y31" s="49" t="s">
        <v>206</v>
      </c>
      <c r="Z31" s="49" t="s">
        <v>207</v>
      </c>
      <c r="AA31" s="49" t="s">
        <v>595</v>
      </c>
      <c r="AB31" s="101" t="s">
        <v>617</v>
      </c>
    </row>
    <row r="32" spans="2:28" s="49" customFormat="1" x14ac:dyDescent="0.15">
      <c r="B32" s="136" t="s">
        <v>957</v>
      </c>
      <c r="C32" s="113">
        <v>43119.569444444445</v>
      </c>
      <c r="D32" s="49" t="s">
        <v>165</v>
      </c>
      <c r="E32" s="49">
        <v>180119018</v>
      </c>
      <c r="F32" s="49">
        <v>25.8</v>
      </c>
      <c r="G32" s="49">
        <v>1</v>
      </c>
      <c r="H32" s="49">
        <v>7</v>
      </c>
      <c r="I32" s="49">
        <v>0</v>
      </c>
      <c r="J32" s="49">
        <v>2</v>
      </c>
      <c r="K32" s="49">
        <v>32620</v>
      </c>
      <c r="L32" s="49">
        <v>11040</v>
      </c>
      <c r="M32" s="49">
        <v>0</v>
      </c>
      <c r="N32" s="49">
        <v>21580</v>
      </c>
      <c r="O32" s="49">
        <v>0</v>
      </c>
      <c r="P32" s="49">
        <v>3056</v>
      </c>
      <c r="Q32" s="49">
        <v>0</v>
      </c>
      <c r="R32" s="49">
        <v>18524</v>
      </c>
      <c r="S32" s="49">
        <v>1.72</v>
      </c>
      <c r="T32" s="49">
        <v>31861.279999999999</v>
      </c>
      <c r="X32" s="49" t="s">
        <v>205</v>
      </c>
      <c r="Y32" s="49" t="s">
        <v>206</v>
      </c>
      <c r="Z32" s="49" t="s">
        <v>207</v>
      </c>
      <c r="AA32" s="49" t="s">
        <v>595</v>
      </c>
      <c r="AB32" s="101" t="s">
        <v>617</v>
      </c>
    </row>
    <row r="33" spans="2:28" s="49" customFormat="1" x14ac:dyDescent="0.15">
      <c r="B33" s="136" t="s">
        <v>957</v>
      </c>
      <c r="C33" s="113">
        <v>43119.592361111114</v>
      </c>
      <c r="D33" s="49" t="s">
        <v>194</v>
      </c>
      <c r="E33" s="49">
        <v>180119012</v>
      </c>
      <c r="F33" s="49">
        <v>26.1</v>
      </c>
      <c r="G33" s="49">
        <v>1</v>
      </c>
      <c r="H33" s="49">
        <v>7</v>
      </c>
      <c r="I33" s="49">
        <v>0</v>
      </c>
      <c r="J33" s="49">
        <v>2</v>
      </c>
      <c r="K33" s="49">
        <v>51280</v>
      </c>
      <c r="L33" s="49">
        <v>14340</v>
      </c>
      <c r="M33" s="49">
        <v>0</v>
      </c>
      <c r="N33" s="49">
        <v>36940</v>
      </c>
      <c r="O33" s="49">
        <v>0</v>
      </c>
      <c r="P33" s="49">
        <v>5364</v>
      </c>
      <c r="Q33" s="49">
        <v>0</v>
      </c>
      <c r="R33" s="49">
        <v>31576</v>
      </c>
      <c r="S33" s="49">
        <v>1.72</v>
      </c>
      <c r="T33" s="49">
        <v>54310.720000000001</v>
      </c>
      <c r="X33" s="49" t="s">
        <v>195</v>
      </c>
      <c r="Y33" s="49" t="s">
        <v>196</v>
      </c>
      <c r="Z33" s="49" t="s">
        <v>197</v>
      </c>
      <c r="AA33" s="49" t="s">
        <v>595</v>
      </c>
      <c r="AB33" s="101" t="s">
        <v>618</v>
      </c>
    </row>
    <row r="34" spans="2:28" s="49" customFormat="1" x14ac:dyDescent="0.15">
      <c r="B34" s="136" t="s">
        <v>957</v>
      </c>
      <c r="C34" s="113">
        <v>43119.618750000001</v>
      </c>
      <c r="D34" s="49" t="s">
        <v>198</v>
      </c>
      <c r="E34" s="49">
        <v>180119013</v>
      </c>
      <c r="F34" s="49">
        <v>24.8</v>
      </c>
      <c r="G34" s="49">
        <v>1</v>
      </c>
      <c r="H34" s="49">
        <v>8.5</v>
      </c>
      <c r="I34" s="49">
        <v>0</v>
      </c>
      <c r="J34" s="49">
        <v>3.5</v>
      </c>
      <c r="K34" s="49">
        <v>81980</v>
      </c>
      <c r="L34" s="49">
        <v>19010</v>
      </c>
      <c r="M34" s="49">
        <v>0</v>
      </c>
      <c r="N34" s="49">
        <v>62970</v>
      </c>
      <c r="O34" s="49">
        <v>0</v>
      </c>
      <c r="P34" s="49">
        <v>8161</v>
      </c>
      <c r="Q34" s="49">
        <v>0</v>
      </c>
      <c r="R34" s="49">
        <v>54809</v>
      </c>
      <c r="S34" s="49">
        <v>1.72</v>
      </c>
      <c r="T34" s="49">
        <v>94271.48</v>
      </c>
      <c r="X34" s="49" t="s">
        <v>217</v>
      </c>
      <c r="Y34" s="49" t="s">
        <v>199</v>
      </c>
      <c r="Z34" s="49" t="s">
        <v>200</v>
      </c>
      <c r="AA34" s="49" t="s">
        <v>605</v>
      </c>
      <c r="AB34" s="101" t="s">
        <v>619</v>
      </c>
    </row>
    <row r="35" spans="2:28" s="49" customFormat="1" x14ac:dyDescent="0.15">
      <c r="B35" s="136" t="s">
        <v>957</v>
      </c>
      <c r="C35" s="113">
        <v>43119.63958333333</v>
      </c>
      <c r="D35" s="49" t="s">
        <v>203</v>
      </c>
      <c r="E35" s="49">
        <v>180119016</v>
      </c>
      <c r="F35" s="49">
        <v>26.8</v>
      </c>
      <c r="G35" s="49">
        <v>1</v>
      </c>
      <c r="H35" s="49">
        <v>8</v>
      </c>
      <c r="I35" s="49">
        <v>0</v>
      </c>
      <c r="J35" s="49">
        <v>3</v>
      </c>
      <c r="K35" s="49">
        <v>77710</v>
      </c>
      <c r="L35" s="49">
        <v>18470</v>
      </c>
      <c r="M35" s="49">
        <v>0</v>
      </c>
      <c r="N35" s="49">
        <v>59240</v>
      </c>
      <c r="O35" s="49">
        <v>0</v>
      </c>
      <c r="P35" s="49">
        <v>9099</v>
      </c>
      <c r="Q35" s="49">
        <v>0</v>
      </c>
      <c r="R35" s="49">
        <v>50141</v>
      </c>
      <c r="S35" s="49">
        <v>1.72</v>
      </c>
      <c r="T35" s="49">
        <v>86242.52</v>
      </c>
      <c r="X35" s="49" t="s">
        <v>180</v>
      </c>
      <c r="Y35" s="49" t="s">
        <v>181</v>
      </c>
      <c r="Z35" s="49" t="s">
        <v>182</v>
      </c>
      <c r="AA35" s="49" t="s">
        <v>605</v>
      </c>
      <c r="AB35" s="101" t="s">
        <v>614</v>
      </c>
    </row>
    <row r="36" spans="2:28" s="49" customFormat="1" x14ac:dyDescent="0.15">
      <c r="B36" s="136" t="s">
        <v>957</v>
      </c>
      <c r="C36" s="113">
        <v>43119.645833333336</v>
      </c>
      <c r="D36" s="49" t="s">
        <v>204</v>
      </c>
      <c r="E36" s="49">
        <v>180119017</v>
      </c>
      <c r="F36" s="49">
        <v>27.5</v>
      </c>
      <c r="G36" s="49">
        <v>1</v>
      </c>
      <c r="H36" s="49">
        <v>8</v>
      </c>
      <c r="I36" s="49">
        <v>0</v>
      </c>
      <c r="J36" s="49">
        <v>3</v>
      </c>
      <c r="K36" s="49">
        <v>73050</v>
      </c>
      <c r="L36" s="49">
        <v>16000</v>
      </c>
      <c r="M36" s="49">
        <v>0</v>
      </c>
      <c r="N36" s="49">
        <v>57050</v>
      </c>
      <c r="O36" s="49">
        <v>0</v>
      </c>
      <c r="P36" s="49">
        <v>9242</v>
      </c>
      <c r="Q36" s="49">
        <v>0</v>
      </c>
      <c r="R36" s="49">
        <v>47808</v>
      </c>
      <c r="S36" s="49">
        <v>1.72</v>
      </c>
      <c r="T36" s="49">
        <v>82229.759999999995</v>
      </c>
      <c r="X36" s="49" t="s">
        <v>180</v>
      </c>
      <c r="Y36" s="49" t="s">
        <v>181</v>
      </c>
      <c r="Z36" s="49" t="s">
        <v>182</v>
      </c>
      <c r="AA36" s="49" t="s">
        <v>605</v>
      </c>
      <c r="AB36" s="101" t="s">
        <v>614</v>
      </c>
    </row>
    <row r="37" spans="2:28" s="49" customFormat="1" x14ac:dyDescent="0.15">
      <c r="B37" s="136" t="s">
        <v>957</v>
      </c>
      <c r="C37" s="113">
        <v>43119.654861111114</v>
      </c>
      <c r="D37" s="49" t="s">
        <v>202</v>
      </c>
      <c r="E37" s="49">
        <v>180119015</v>
      </c>
      <c r="F37" s="49">
        <v>27</v>
      </c>
      <c r="G37" s="49">
        <v>1</v>
      </c>
      <c r="H37" s="49">
        <v>9</v>
      </c>
      <c r="I37" s="49">
        <v>0</v>
      </c>
      <c r="J37" s="49">
        <v>5</v>
      </c>
      <c r="K37" s="49">
        <v>75970</v>
      </c>
      <c r="L37" s="49">
        <v>17420</v>
      </c>
      <c r="M37" s="49">
        <v>0</v>
      </c>
      <c r="N37" s="49">
        <v>58550</v>
      </c>
      <c r="O37" s="49">
        <v>0</v>
      </c>
      <c r="P37" s="49">
        <v>9134</v>
      </c>
      <c r="Q37" s="49">
        <v>0</v>
      </c>
      <c r="R37" s="49">
        <v>49416</v>
      </c>
      <c r="S37" s="49">
        <v>1.72</v>
      </c>
      <c r="T37" s="49">
        <v>84995.520000000004</v>
      </c>
      <c r="X37" s="49" t="s">
        <v>180</v>
      </c>
      <c r="Y37" s="49" t="s">
        <v>181</v>
      </c>
      <c r="Z37" s="49" t="s">
        <v>182</v>
      </c>
      <c r="AA37" s="49" t="s">
        <v>605</v>
      </c>
      <c r="AB37" s="101" t="s">
        <v>614</v>
      </c>
    </row>
    <row r="38" spans="2:28" s="49" customFormat="1" x14ac:dyDescent="0.15">
      <c r="B38" s="136" t="s">
        <v>957</v>
      </c>
      <c r="C38" s="113">
        <v>43119.663194444445</v>
      </c>
      <c r="D38" s="49" t="s">
        <v>201</v>
      </c>
      <c r="E38" s="49">
        <v>180119014</v>
      </c>
      <c r="F38" s="49">
        <v>29.2</v>
      </c>
      <c r="G38" s="49">
        <v>1</v>
      </c>
      <c r="H38" s="49">
        <v>9</v>
      </c>
      <c r="I38" s="49">
        <v>0</v>
      </c>
      <c r="J38" s="49">
        <v>3</v>
      </c>
      <c r="K38" s="49">
        <v>60970</v>
      </c>
      <c r="L38" s="49">
        <v>15050</v>
      </c>
      <c r="M38" s="49">
        <v>0</v>
      </c>
      <c r="N38" s="49">
        <v>45920</v>
      </c>
      <c r="O38" s="49">
        <v>0</v>
      </c>
      <c r="P38" s="49">
        <v>8376</v>
      </c>
      <c r="Q38" s="49">
        <v>0</v>
      </c>
      <c r="R38" s="49">
        <v>37544</v>
      </c>
      <c r="S38" s="49">
        <v>1.72</v>
      </c>
      <c r="T38" s="49">
        <v>64575.68</v>
      </c>
      <c r="X38" s="49" t="s">
        <v>223</v>
      </c>
      <c r="Y38" s="49" t="s">
        <v>199</v>
      </c>
      <c r="Z38" s="49" t="s">
        <v>200</v>
      </c>
      <c r="AA38" s="49" t="s">
        <v>605</v>
      </c>
      <c r="AB38" s="101" t="s">
        <v>619</v>
      </c>
    </row>
    <row r="39" spans="2:28" s="49" customFormat="1" x14ac:dyDescent="0.15">
      <c r="B39" s="136" t="s">
        <v>957</v>
      </c>
      <c r="C39" s="113">
        <v>43119.672222222223</v>
      </c>
      <c r="D39" s="49" t="s">
        <v>211</v>
      </c>
      <c r="E39" s="49">
        <v>180119023</v>
      </c>
      <c r="F39" s="49">
        <v>27.8</v>
      </c>
      <c r="G39" s="49">
        <v>1</v>
      </c>
      <c r="H39" s="49">
        <v>8</v>
      </c>
      <c r="I39" s="49">
        <v>0</v>
      </c>
      <c r="J39" s="49">
        <v>3.5</v>
      </c>
      <c r="K39" s="49">
        <v>26130</v>
      </c>
      <c r="L39" s="49">
        <v>7250</v>
      </c>
      <c r="M39" s="49">
        <v>0</v>
      </c>
      <c r="N39" s="49">
        <v>18880</v>
      </c>
      <c r="O39" s="49">
        <v>0</v>
      </c>
      <c r="P39" s="49">
        <v>3127</v>
      </c>
      <c r="Q39" s="49">
        <v>0</v>
      </c>
      <c r="R39" s="49">
        <v>15753</v>
      </c>
      <c r="S39" s="49">
        <v>1.72</v>
      </c>
      <c r="T39" s="49">
        <v>27095.16</v>
      </c>
      <c r="X39" s="49" t="s">
        <v>212</v>
      </c>
      <c r="Y39" s="49" t="s">
        <v>213</v>
      </c>
      <c r="Z39" s="49" t="s">
        <v>214</v>
      </c>
      <c r="AA39" s="49" t="s">
        <v>595</v>
      </c>
      <c r="AB39" s="101" t="s">
        <v>620</v>
      </c>
    </row>
    <row r="40" spans="2:28" s="49" customFormat="1" x14ac:dyDescent="0.15">
      <c r="B40" s="136" t="s">
        <v>957</v>
      </c>
      <c r="C40" s="113">
        <v>43119.680555555555</v>
      </c>
      <c r="D40" s="49" t="s">
        <v>209</v>
      </c>
      <c r="E40" s="49">
        <v>180119020</v>
      </c>
      <c r="F40" s="49">
        <v>26.3</v>
      </c>
      <c r="G40" s="49">
        <v>1.2</v>
      </c>
      <c r="H40" s="49">
        <v>8</v>
      </c>
      <c r="I40" s="49">
        <v>0</v>
      </c>
      <c r="J40" s="49">
        <v>3</v>
      </c>
      <c r="K40" s="49">
        <v>75950</v>
      </c>
      <c r="L40" s="49">
        <v>16970</v>
      </c>
      <c r="M40" s="49">
        <v>118</v>
      </c>
      <c r="N40" s="49">
        <v>58980</v>
      </c>
      <c r="O40" s="49">
        <v>0</v>
      </c>
      <c r="P40" s="49">
        <v>8705</v>
      </c>
      <c r="Q40" s="49">
        <v>0</v>
      </c>
      <c r="R40" s="49">
        <v>50157</v>
      </c>
      <c r="S40" s="49">
        <v>1.72</v>
      </c>
      <c r="T40" s="49">
        <v>86270.04</v>
      </c>
      <c r="X40" s="49" t="s">
        <v>180</v>
      </c>
      <c r="Y40" s="49" t="s">
        <v>181</v>
      </c>
      <c r="Z40" s="49" t="s">
        <v>182</v>
      </c>
      <c r="AA40" s="49" t="s">
        <v>605</v>
      </c>
      <c r="AB40" s="101" t="s">
        <v>614</v>
      </c>
    </row>
    <row r="41" spans="2:28" s="49" customFormat="1" x14ac:dyDescent="0.15">
      <c r="B41" s="136" t="s">
        <v>957</v>
      </c>
      <c r="C41" s="113">
        <v>43119.688888888886</v>
      </c>
      <c r="D41" s="49" t="s">
        <v>116</v>
      </c>
      <c r="E41" s="49">
        <v>180119026</v>
      </c>
      <c r="F41" s="49">
        <v>23.4</v>
      </c>
      <c r="G41" s="49">
        <v>1</v>
      </c>
      <c r="H41" s="49">
        <v>7</v>
      </c>
      <c r="I41" s="49">
        <v>0</v>
      </c>
      <c r="J41" s="49">
        <v>2</v>
      </c>
      <c r="K41" s="49">
        <v>29430</v>
      </c>
      <c r="L41" s="49">
        <v>8510</v>
      </c>
      <c r="M41" s="49">
        <v>0</v>
      </c>
      <c r="N41" s="49">
        <v>20920</v>
      </c>
      <c r="O41" s="49">
        <v>0</v>
      </c>
      <c r="P41" s="49">
        <v>2360</v>
      </c>
      <c r="Q41" s="49">
        <v>0</v>
      </c>
      <c r="R41" s="49">
        <v>18560</v>
      </c>
      <c r="S41" s="49">
        <v>1.72</v>
      </c>
      <c r="T41" s="49">
        <v>31923.200000000001</v>
      </c>
      <c r="X41" s="49" t="s">
        <v>118</v>
      </c>
      <c r="Y41" s="49" t="s">
        <v>117</v>
      </c>
      <c r="Z41" s="49" t="s">
        <v>119</v>
      </c>
      <c r="AA41" s="49" t="s">
        <v>595</v>
      </c>
      <c r="AB41" s="101" t="s">
        <v>599</v>
      </c>
    </row>
    <row r="42" spans="2:28" s="49" customFormat="1" x14ac:dyDescent="0.15">
      <c r="B42" s="136" t="s">
        <v>957</v>
      </c>
      <c r="C42" s="113">
        <v>43119.70208333333</v>
      </c>
      <c r="D42" s="49" t="s">
        <v>218</v>
      </c>
      <c r="E42" s="49">
        <v>180119028</v>
      </c>
      <c r="F42" s="49">
        <v>27.8</v>
      </c>
      <c r="G42" s="49">
        <v>1</v>
      </c>
      <c r="H42" s="49">
        <v>9</v>
      </c>
      <c r="I42" s="49">
        <v>0</v>
      </c>
      <c r="J42" s="49">
        <v>4</v>
      </c>
      <c r="K42" s="49">
        <v>29600</v>
      </c>
      <c r="L42" s="49">
        <v>7050</v>
      </c>
      <c r="M42" s="49">
        <v>0</v>
      </c>
      <c r="N42" s="49">
        <v>22550</v>
      </c>
      <c r="O42" s="49">
        <v>0</v>
      </c>
      <c r="P42" s="49">
        <v>3734</v>
      </c>
      <c r="Q42" s="49">
        <v>0</v>
      </c>
      <c r="R42" s="49">
        <v>18816</v>
      </c>
      <c r="S42" s="49">
        <v>1.72</v>
      </c>
      <c r="T42" s="49">
        <v>32363.52</v>
      </c>
      <c r="X42" s="49" t="s">
        <v>219</v>
      </c>
      <c r="Y42" s="49" t="s">
        <v>220</v>
      </c>
      <c r="Z42" s="49" t="s">
        <v>221</v>
      </c>
      <c r="AA42" s="49" t="s">
        <v>595</v>
      </c>
      <c r="AB42" s="101" t="s">
        <v>621</v>
      </c>
    </row>
    <row r="43" spans="2:28" s="49" customFormat="1" x14ac:dyDescent="0.15">
      <c r="B43" s="136" t="s">
        <v>957</v>
      </c>
      <c r="C43" s="113">
        <v>43119.714583333334</v>
      </c>
      <c r="D43" s="49" t="s">
        <v>210</v>
      </c>
      <c r="E43" s="49">
        <v>180119021</v>
      </c>
      <c r="F43" s="49">
        <v>26.1</v>
      </c>
      <c r="G43" s="49">
        <v>1</v>
      </c>
      <c r="H43" s="49">
        <v>8</v>
      </c>
      <c r="I43" s="49">
        <v>0</v>
      </c>
      <c r="J43" s="49">
        <v>3</v>
      </c>
      <c r="K43" s="49">
        <v>73980</v>
      </c>
      <c r="L43" s="49">
        <v>16450</v>
      </c>
      <c r="M43" s="49">
        <v>0</v>
      </c>
      <c r="N43" s="49">
        <v>57530</v>
      </c>
      <c r="O43" s="49">
        <v>0</v>
      </c>
      <c r="P43" s="49">
        <v>8353</v>
      </c>
      <c r="Q43" s="49">
        <v>0</v>
      </c>
      <c r="R43" s="49">
        <v>49177</v>
      </c>
      <c r="S43" s="49">
        <v>1.72</v>
      </c>
      <c r="T43" s="49">
        <v>84584.44</v>
      </c>
      <c r="X43" s="49" t="s">
        <v>180</v>
      </c>
      <c r="Y43" s="49" t="s">
        <v>181</v>
      </c>
      <c r="Z43" s="49" t="s">
        <v>182</v>
      </c>
      <c r="AA43" s="49" t="s">
        <v>605</v>
      </c>
      <c r="AB43" s="101" t="s">
        <v>614</v>
      </c>
    </row>
    <row r="44" spans="2:28" s="49" customFormat="1" x14ac:dyDescent="0.15">
      <c r="B44" s="136" t="s">
        <v>957</v>
      </c>
      <c r="C44" s="113">
        <v>43119.727777777778</v>
      </c>
      <c r="D44" s="49" t="s">
        <v>131</v>
      </c>
      <c r="E44" s="49">
        <v>180119030</v>
      </c>
      <c r="F44" s="49">
        <v>26.4</v>
      </c>
      <c r="G44" s="49">
        <v>1</v>
      </c>
      <c r="H44" s="49">
        <v>8</v>
      </c>
      <c r="I44" s="49">
        <v>0</v>
      </c>
      <c r="J44" s="49">
        <v>3.5</v>
      </c>
      <c r="K44" s="49">
        <v>32620</v>
      </c>
      <c r="L44" s="49">
        <v>7080</v>
      </c>
      <c r="M44" s="49">
        <v>0</v>
      </c>
      <c r="N44" s="49">
        <v>25540</v>
      </c>
      <c r="O44" s="49">
        <v>0</v>
      </c>
      <c r="P44" s="49">
        <v>3800</v>
      </c>
      <c r="Q44" s="49">
        <v>0</v>
      </c>
      <c r="R44" s="49">
        <v>21740</v>
      </c>
      <c r="S44" s="49">
        <v>1.72</v>
      </c>
      <c r="T44" s="49">
        <v>37392.800000000003</v>
      </c>
      <c r="X44" s="49" t="s">
        <v>159</v>
      </c>
      <c r="Y44" s="49" t="s">
        <v>133</v>
      </c>
      <c r="Z44" s="49" t="s">
        <v>160</v>
      </c>
      <c r="AA44" s="49" t="s">
        <v>595</v>
      </c>
      <c r="AB44" s="101" t="s">
        <v>603</v>
      </c>
    </row>
    <row r="45" spans="2:28" s="49" customFormat="1" x14ac:dyDescent="0.15">
      <c r="B45" s="136" t="s">
        <v>957</v>
      </c>
      <c r="C45" s="113">
        <v>43119.736111111109</v>
      </c>
      <c r="D45" s="49" t="s">
        <v>161</v>
      </c>
      <c r="E45" s="49">
        <v>180119031</v>
      </c>
      <c r="F45" s="49">
        <v>24.3</v>
      </c>
      <c r="G45" s="49">
        <v>1</v>
      </c>
      <c r="H45" s="49">
        <v>8</v>
      </c>
      <c r="I45" s="49">
        <v>0</v>
      </c>
      <c r="J45" s="49">
        <v>3</v>
      </c>
      <c r="K45" s="49">
        <v>32270</v>
      </c>
      <c r="L45" s="49">
        <v>7250</v>
      </c>
      <c r="M45" s="49">
        <v>0</v>
      </c>
      <c r="N45" s="49">
        <v>25020</v>
      </c>
      <c r="O45" s="49">
        <v>0</v>
      </c>
      <c r="P45" s="49">
        <v>3092</v>
      </c>
      <c r="Q45" s="49">
        <v>0</v>
      </c>
      <c r="R45" s="49">
        <v>21928</v>
      </c>
      <c r="S45" s="49">
        <v>1.72</v>
      </c>
      <c r="T45" s="49">
        <v>37716.159999999996</v>
      </c>
      <c r="X45" s="49" t="s">
        <v>162</v>
      </c>
      <c r="Y45" s="49" t="s">
        <v>163</v>
      </c>
      <c r="Z45" s="49" t="s">
        <v>164</v>
      </c>
      <c r="AA45" s="49" t="s">
        <v>595</v>
      </c>
      <c r="AB45" s="101" t="s">
        <v>610</v>
      </c>
    </row>
    <row r="46" spans="2:28" s="49" customFormat="1" x14ac:dyDescent="0.15">
      <c r="B46" s="136" t="s">
        <v>957</v>
      </c>
      <c r="C46" s="113">
        <v>43119.746527777781</v>
      </c>
      <c r="D46" s="49" t="s">
        <v>222</v>
      </c>
      <c r="E46" s="49">
        <v>180119029</v>
      </c>
      <c r="F46" s="49">
        <v>27.1</v>
      </c>
      <c r="G46" s="49">
        <v>1</v>
      </c>
      <c r="H46" s="49">
        <v>9</v>
      </c>
      <c r="I46" s="49">
        <v>0</v>
      </c>
      <c r="J46" s="49">
        <v>3</v>
      </c>
      <c r="K46" s="49">
        <v>50370</v>
      </c>
      <c r="L46" s="49">
        <v>11640</v>
      </c>
      <c r="M46" s="49">
        <v>0</v>
      </c>
      <c r="N46" s="49">
        <v>38730</v>
      </c>
      <c r="O46" s="49">
        <v>0</v>
      </c>
      <c r="P46" s="49">
        <v>6088</v>
      </c>
      <c r="Q46" s="49">
        <v>0</v>
      </c>
      <c r="R46" s="49">
        <v>32642</v>
      </c>
      <c r="S46" s="49">
        <v>1.72</v>
      </c>
      <c r="T46" s="49">
        <v>56144.24</v>
      </c>
      <c r="X46" s="49" t="s">
        <v>223</v>
      </c>
      <c r="Y46" s="49" t="s">
        <v>199</v>
      </c>
      <c r="Z46" s="49" t="s">
        <v>200</v>
      </c>
      <c r="AA46" s="49" t="s">
        <v>605</v>
      </c>
      <c r="AB46" s="101" t="s">
        <v>619</v>
      </c>
    </row>
    <row r="47" spans="2:28" s="49" customFormat="1" x14ac:dyDescent="0.15">
      <c r="B47" s="136" t="s">
        <v>957</v>
      </c>
      <c r="C47" s="113">
        <v>43119.759722222225</v>
      </c>
      <c r="D47" s="49" t="s">
        <v>167</v>
      </c>
      <c r="E47" s="49">
        <v>180119032</v>
      </c>
      <c r="F47" s="49">
        <v>26.4</v>
      </c>
      <c r="G47" s="49">
        <v>1</v>
      </c>
      <c r="H47" s="49">
        <v>9</v>
      </c>
      <c r="I47" s="49">
        <v>1</v>
      </c>
      <c r="J47" s="49">
        <v>3</v>
      </c>
      <c r="K47" s="49">
        <v>23460</v>
      </c>
      <c r="L47" s="49">
        <v>7280</v>
      </c>
      <c r="M47" s="49">
        <v>0</v>
      </c>
      <c r="N47" s="49">
        <v>16180</v>
      </c>
      <c r="O47" s="49">
        <v>0</v>
      </c>
      <c r="P47" s="49">
        <v>2408</v>
      </c>
      <c r="Q47" s="49">
        <v>0</v>
      </c>
      <c r="R47" s="49">
        <v>13772</v>
      </c>
      <c r="S47" s="49">
        <v>1.72</v>
      </c>
      <c r="T47" s="49">
        <v>23687.84</v>
      </c>
      <c r="X47" s="49" t="s">
        <v>168</v>
      </c>
      <c r="Y47" s="49" t="s">
        <v>169</v>
      </c>
      <c r="Z47" s="49" t="s">
        <v>170</v>
      </c>
      <c r="AA47" s="49" t="s">
        <v>595</v>
      </c>
      <c r="AB47" s="101" t="s">
        <v>611</v>
      </c>
    </row>
    <row r="48" spans="2:28" s="49" customFormat="1" x14ac:dyDescent="0.15">
      <c r="B48" s="136" t="s">
        <v>957</v>
      </c>
      <c r="C48" s="113">
        <v>43119.767361111109</v>
      </c>
      <c r="D48" s="49" t="s">
        <v>216</v>
      </c>
      <c r="E48" s="49">
        <v>180119027</v>
      </c>
      <c r="F48" s="49">
        <v>29.5</v>
      </c>
      <c r="G48" s="49">
        <v>1</v>
      </c>
      <c r="H48" s="49">
        <v>9</v>
      </c>
      <c r="I48" s="49">
        <v>1</v>
      </c>
      <c r="J48" s="49">
        <v>4</v>
      </c>
      <c r="K48" s="49">
        <v>82310</v>
      </c>
      <c r="L48" s="49">
        <v>21390</v>
      </c>
      <c r="M48" s="49">
        <v>0</v>
      </c>
      <c r="N48" s="49">
        <v>60920</v>
      </c>
      <c r="O48" s="49">
        <v>0</v>
      </c>
      <c r="P48" s="49">
        <v>11331</v>
      </c>
      <c r="Q48" s="49">
        <v>0</v>
      </c>
      <c r="R48" s="49">
        <v>49589</v>
      </c>
      <c r="S48" s="49">
        <v>1.72</v>
      </c>
      <c r="T48" s="49">
        <v>85293.08</v>
      </c>
      <c r="X48" s="49" t="s">
        <v>215</v>
      </c>
      <c r="Y48" s="49" t="s">
        <v>199</v>
      </c>
      <c r="Z48" s="49" t="s">
        <v>200</v>
      </c>
      <c r="AA48" s="49" t="s">
        <v>605</v>
      </c>
      <c r="AB48" s="101" t="s">
        <v>619</v>
      </c>
    </row>
    <row r="49" spans="2:28" s="49" customFormat="1" x14ac:dyDescent="0.15">
      <c r="B49" s="136" t="s">
        <v>957</v>
      </c>
      <c r="C49" s="113">
        <v>43119.791666666664</v>
      </c>
      <c r="D49" s="49" t="s">
        <v>224</v>
      </c>
      <c r="E49" s="49">
        <v>180119033</v>
      </c>
      <c r="F49" s="49">
        <v>29</v>
      </c>
      <c r="G49" s="49">
        <v>1</v>
      </c>
      <c r="H49" s="49">
        <v>10</v>
      </c>
      <c r="I49" s="49">
        <v>2</v>
      </c>
      <c r="J49" s="49">
        <v>5</v>
      </c>
      <c r="K49" s="49">
        <v>52070</v>
      </c>
      <c r="L49" s="49">
        <v>13250</v>
      </c>
      <c r="M49" s="49">
        <v>0</v>
      </c>
      <c r="N49" s="49">
        <v>38820</v>
      </c>
      <c r="O49" s="49">
        <v>0</v>
      </c>
      <c r="P49" s="49">
        <v>6988</v>
      </c>
      <c r="Q49" s="49">
        <v>0</v>
      </c>
      <c r="R49" s="49">
        <v>31832</v>
      </c>
      <c r="S49" s="49">
        <v>1.72</v>
      </c>
      <c r="T49" s="49">
        <v>54751.040000000001</v>
      </c>
      <c r="X49" s="49" t="s">
        <v>225</v>
      </c>
      <c r="Y49" s="49" t="s">
        <v>226</v>
      </c>
      <c r="Z49" s="49" t="s">
        <v>227</v>
      </c>
      <c r="AA49" s="49" t="s">
        <v>595</v>
      </c>
      <c r="AB49" s="101" t="s">
        <v>622</v>
      </c>
    </row>
    <row r="50" spans="2:28" s="117" customFormat="1" x14ac:dyDescent="0.15">
      <c r="B50" s="136" t="s">
        <v>957</v>
      </c>
      <c r="C50" s="113">
        <v>43119.809027777781</v>
      </c>
      <c r="D50" s="49" t="s">
        <v>231</v>
      </c>
      <c r="E50" s="49">
        <v>180119034</v>
      </c>
      <c r="F50" s="49">
        <v>29.5</v>
      </c>
      <c r="G50" s="49">
        <v>1</v>
      </c>
      <c r="H50" s="49">
        <v>11</v>
      </c>
      <c r="I50" s="49">
        <v>3</v>
      </c>
      <c r="J50" s="49">
        <v>6</v>
      </c>
      <c r="K50" s="49">
        <v>59360</v>
      </c>
      <c r="L50" s="49">
        <v>16620</v>
      </c>
      <c r="M50" s="49">
        <v>0</v>
      </c>
      <c r="N50" s="49">
        <v>42740</v>
      </c>
      <c r="O50" s="49">
        <v>0</v>
      </c>
      <c r="P50" s="49">
        <v>7950</v>
      </c>
      <c r="Q50" s="49">
        <v>0</v>
      </c>
      <c r="R50" s="49">
        <v>34790</v>
      </c>
      <c r="S50" s="49">
        <v>1.72</v>
      </c>
      <c r="T50" s="49">
        <v>59838.799999999996</v>
      </c>
      <c r="U50" s="49"/>
      <c r="V50" s="49"/>
      <c r="W50" s="49"/>
      <c r="X50" s="49" t="s">
        <v>228</v>
      </c>
      <c r="Y50" s="49" t="s">
        <v>229</v>
      </c>
      <c r="Z50" s="49" t="s">
        <v>230</v>
      </c>
      <c r="AA50" s="49" t="s">
        <v>595</v>
      </c>
      <c r="AB50" s="101" t="s">
        <v>623</v>
      </c>
    </row>
    <row r="51" spans="2:28" s="49" customFormat="1" x14ac:dyDescent="0.15">
      <c r="B51" s="136" t="s">
        <v>957</v>
      </c>
      <c r="C51" s="115"/>
      <c r="D51" s="115"/>
      <c r="E51" s="115"/>
      <c r="F51" s="115"/>
      <c r="G51" s="115"/>
      <c r="H51" s="115"/>
      <c r="I51" s="11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116"/>
      <c r="U51" s="115"/>
      <c r="V51" s="115"/>
      <c r="W51" s="115"/>
      <c r="X51" s="115"/>
      <c r="Y51" s="115"/>
      <c r="Z51" s="115"/>
      <c r="AA51" s="117"/>
      <c r="AB51" s="118"/>
    </row>
    <row r="52" spans="2:28" s="49" customFormat="1" x14ac:dyDescent="0.15">
      <c r="B52" s="136" t="s">
        <v>957</v>
      </c>
      <c r="C52" s="113">
        <v>43120.37222222222</v>
      </c>
      <c r="D52" s="49" t="s">
        <v>232</v>
      </c>
      <c r="E52" s="49">
        <v>180120001</v>
      </c>
      <c r="F52" s="49">
        <v>26.8</v>
      </c>
      <c r="G52" s="49">
        <v>1</v>
      </c>
      <c r="H52" s="49">
        <v>8.5</v>
      </c>
      <c r="I52" s="49">
        <v>0</v>
      </c>
      <c r="J52" s="49">
        <v>3</v>
      </c>
      <c r="K52" s="49">
        <v>34420</v>
      </c>
      <c r="L52" s="49">
        <v>12000</v>
      </c>
      <c r="M52" s="49">
        <v>0</v>
      </c>
      <c r="N52" s="49">
        <v>22420</v>
      </c>
      <c r="O52" s="49">
        <v>0</v>
      </c>
      <c r="P52" s="49">
        <v>3444</v>
      </c>
      <c r="Q52" s="49">
        <v>0</v>
      </c>
      <c r="R52" s="49">
        <v>18976</v>
      </c>
      <c r="S52" s="49">
        <v>1.72</v>
      </c>
      <c r="T52" s="49">
        <v>32638.720000000001</v>
      </c>
      <c r="X52" s="49" t="s">
        <v>234</v>
      </c>
      <c r="Y52" s="49" t="s">
        <v>235</v>
      </c>
      <c r="Z52" s="49" t="s">
        <v>236</v>
      </c>
      <c r="AA52" s="49" t="s">
        <v>624</v>
      </c>
      <c r="AB52" s="101" t="s">
        <v>625</v>
      </c>
    </row>
    <row r="53" spans="2:28" s="49" customFormat="1" x14ac:dyDescent="0.15">
      <c r="B53" s="136" t="s">
        <v>957</v>
      </c>
      <c r="C53" s="113">
        <v>43120.413888888892</v>
      </c>
      <c r="D53" s="49" t="s">
        <v>240</v>
      </c>
      <c r="E53" s="49">
        <v>180120003</v>
      </c>
      <c r="F53" s="49">
        <v>27</v>
      </c>
      <c r="G53" s="49">
        <v>1</v>
      </c>
      <c r="H53" s="49">
        <v>8</v>
      </c>
      <c r="I53" s="49">
        <v>0</v>
      </c>
      <c r="J53" s="49">
        <v>3</v>
      </c>
      <c r="K53" s="49">
        <v>52920</v>
      </c>
      <c r="L53" s="49">
        <v>11800</v>
      </c>
      <c r="M53" s="49">
        <v>0</v>
      </c>
      <c r="N53" s="49">
        <v>41120</v>
      </c>
      <c r="O53" s="49">
        <v>0</v>
      </c>
      <c r="P53" s="49">
        <v>6415</v>
      </c>
      <c r="Q53" s="49">
        <v>0</v>
      </c>
      <c r="R53" s="49">
        <v>34705</v>
      </c>
      <c r="S53" s="49">
        <v>1.72</v>
      </c>
      <c r="T53" s="49">
        <v>59692.6</v>
      </c>
      <c r="X53" s="49" t="s">
        <v>261</v>
      </c>
      <c r="Y53" s="49" t="s">
        <v>199</v>
      </c>
      <c r="Z53" s="49" t="s">
        <v>200</v>
      </c>
      <c r="AA53" s="49" t="s">
        <v>605</v>
      </c>
      <c r="AB53" s="101" t="s">
        <v>619</v>
      </c>
    </row>
    <row r="54" spans="2:28" s="49" customFormat="1" x14ac:dyDescent="0.15">
      <c r="B54" s="136" t="s">
        <v>957</v>
      </c>
      <c r="C54" s="113">
        <v>43120.447222222225</v>
      </c>
      <c r="D54" s="49" t="s">
        <v>241</v>
      </c>
      <c r="E54" s="49">
        <v>180120004</v>
      </c>
      <c r="F54" s="49">
        <v>26.3</v>
      </c>
      <c r="G54" s="49">
        <v>1</v>
      </c>
      <c r="H54" s="49">
        <v>9</v>
      </c>
      <c r="I54" s="49">
        <v>0</v>
      </c>
      <c r="J54" s="49">
        <v>3</v>
      </c>
      <c r="K54" s="49">
        <v>83370</v>
      </c>
      <c r="L54" s="49">
        <v>17380</v>
      </c>
      <c r="M54" s="49">
        <v>0</v>
      </c>
      <c r="N54" s="49">
        <v>65990</v>
      </c>
      <c r="O54" s="49">
        <v>0</v>
      </c>
      <c r="P54" s="49">
        <v>9740</v>
      </c>
      <c r="Q54" s="49">
        <v>0</v>
      </c>
      <c r="R54" s="49">
        <v>56250</v>
      </c>
      <c r="S54" s="49">
        <v>1.72</v>
      </c>
      <c r="T54" s="49">
        <v>96750</v>
      </c>
      <c r="X54" s="49" t="s">
        <v>180</v>
      </c>
      <c r="Y54" s="49" t="s">
        <v>181</v>
      </c>
      <c r="Z54" s="49" t="s">
        <v>182</v>
      </c>
      <c r="AA54" s="49" t="s">
        <v>605</v>
      </c>
      <c r="AB54" s="101" t="s">
        <v>614</v>
      </c>
    </row>
    <row r="55" spans="2:28" s="49" customFormat="1" x14ac:dyDescent="0.15">
      <c r="B55" s="136" t="s">
        <v>957</v>
      </c>
      <c r="C55" s="113">
        <v>43120.451388888891</v>
      </c>
      <c r="D55" s="49" t="s">
        <v>237</v>
      </c>
      <c r="E55" s="49">
        <v>180120002</v>
      </c>
      <c r="F55" s="49">
        <v>26.9</v>
      </c>
      <c r="G55" s="49">
        <v>1</v>
      </c>
      <c r="H55" s="49">
        <v>8</v>
      </c>
      <c r="I55" s="49">
        <v>0</v>
      </c>
      <c r="J55" s="49">
        <v>3</v>
      </c>
      <c r="K55" s="49">
        <v>87590</v>
      </c>
      <c r="L55" s="49">
        <v>19740</v>
      </c>
      <c r="M55" s="49">
        <v>0</v>
      </c>
      <c r="N55" s="49">
        <v>67850</v>
      </c>
      <c r="O55" s="49">
        <v>0</v>
      </c>
      <c r="P55" s="49">
        <v>10503</v>
      </c>
      <c r="Q55" s="49">
        <v>0</v>
      </c>
      <c r="R55" s="49">
        <v>57347</v>
      </c>
      <c r="S55" s="49">
        <v>1.72</v>
      </c>
      <c r="T55" s="49">
        <v>98636.84</v>
      </c>
      <c r="X55" s="49" t="s">
        <v>238</v>
      </c>
      <c r="Y55" s="49" t="s">
        <v>239</v>
      </c>
      <c r="Z55" s="49" t="s">
        <v>147</v>
      </c>
      <c r="AA55" s="49" t="s">
        <v>595</v>
      </c>
      <c r="AB55" s="101" t="s">
        <v>626</v>
      </c>
    </row>
    <row r="56" spans="2:28" s="49" customFormat="1" x14ac:dyDescent="0.15">
      <c r="B56" s="136" t="s">
        <v>957</v>
      </c>
      <c r="C56" s="113">
        <v>43120.457638888889</v>
      </c>
      <c r="D56" s="49" t="s">
        <v>242</v>
      </c>
      <c r="E56" s="49">
        <v>180120005</v>
      </c>
      <c r="F56" s="49">
        <v>26.8</v>
      </c>
      <c r="G56" s="49">
        <v>1</v>
      </c>
      <c r="H56" s="49">
        <v>9</v>
      </c>
      <c r="I56" s="49">
        <v>0</v>
      </c>
      <c r="J56" s="49">
        <v>4</v>
      </c>
      <c r="K56" s="49">
        <v>86000</v>
      </c>
      <c r="L56" s="49">
        <v>17890</v>
      </c>
      <c r="M56" s="49">
        <v>0</v>
      </c>
      <c r="N56" s="49">
        <v>68110</v>
      </c>
      <c r="O56" s="49">
        <v>0</v>
      </c>
      <c r="P56" s="49">
        <v>10462</v>
      </c>
      <c r="Q56" s="49">
        <v>0</v>
      </c>
      <c r="R56" s="49">
        <v>57648</v>
      </c>
      <c r="S56" s="49">
        <v>1.72</v>
      </c>
      <c r="T56" s="49">
        <v>99154.559999999998</v>
      </c>
      <c r="X56" s="49" t="s">
        <v>180</v>
      </c>
      <c r="Y56" s="49" t="s">
        <v>181</v>
      </c>
      <c r="Z56" s="49" t="s">
        <v>182</v>
      </c>
      <c r="AA56" s="49" t="s">
        <v>605</v>
      </c>
      <c r="AB56" s="101" t="s">
        <v>614</v>
      </c>
    </row>
    <row r="57" spans="2:28" s="49" customFormat="1" x14ac:dyDescent="0.15">
      <c r="B57" s="136" t="s">
        <v>957</v>
      </c>
      <c r="C57" s="113">
        <v>43120.46875</v>
      </c>
      <c r="D57" s="49" t="s">
        <v>175</v>
      </c>
      <c r="E57" s="49">
        <v>180120006</v>
      </c>
      <c r="F57" s="49">
        <v>26.6</v>
      </c>
      <c r="G57" s="49">
        <v>1</v>
      </c>
      <c r="H57" s="49">
        <v>8</v>
      </c>
      <c r="I57" s="49">
        <v>0</v>
      </c>
      <c r="J57" s="49">
        <v>3</v>
      </c>
      <c r="K57" s="49">
        <v>90670</v>
      </c>
      <c r="L57" s="49">
        <v>17490</v>
      </c>
      <c r="M57" s="49">
        <v>0</v>
      </c>
      <c r="N57" s="49">
        <v>73180</v>
      </c>
      <c r="O57" s="49">
        <v>0</v>
      </c>
      <c r="P57" s="49">
        <v>11065</v>
      </c>
      <c r="Q57" s="49">
        <v>0</v>
      </c>
      <c r="R57" s="49">
        <v>62115</v>
      </c>
      <c r="S57" s="49">
        <v>1.72</v>
      </c>
      <c r="T57" s="49">
        <v>106837.8</v>
      </c>
      <c r="X57" s="49" t="s">
        <v>238</v>
      </c>
      <c r="Y57" s="49" t="s">
        <v>239</v>
      </c>
      <c r="Z57" s="49" t="s">
        <v>147</v>
      </c>
      <c r="AA57" s="49" t="s">
        <v>595</v>
      </c>
      <c r="AB57" s="101" t="s">
        <v>626</v>
      </c>
    </row>
    <row r="58" spans="2:28" s="49" customFormat="1" x14ac:dyDescent="0.15">
      <c r="B58" s="136" t="s">
        <v>957</v>
      </c>
      <c r="C58" s="113">
        <v>43120.517361111109</v>
      </c>
      <c r="D58" s="49" t="s">
        <v>254</v>
      </c>
      <c r="E58" s="49">
        <v>180120009</v>
      </c>
      <c r="F58" s="49">
        <v>27</v>
      </c>
      <c r="G58" s="49">
        <v>1</v>
      </c>
      <c r="H58" s="49">
        <v>8</v>
      </c>
      <c r="I58" s="49">
        <v>0</v>
      </c>
      <c r="J58" s="49">
        <v>4</v>
      </c>
      <c r="K58" s="49">
        <v>67610</v>
      </c>
      <c r="L58" s="49">
        <v>17220</v>
      </c>
      <c r="M58" s="49">
        <v>0</v>
      </c>
      <c r="N58" s="49">
        <v>50390</v>
      </c>
      <c r="O58" s="49">
        <v>0</v>
      </c>
      <c r="P58" s="49">
        <v>7861</v>
      </c>
      <c r="Q58" s="49">
        <v>0</v>
      </c>
      <c r="R58" s="49">
        <v>42529</v>
      </c>
      <c r="S58" s="49">
        <v>1.72</v>
      </c>
      <c r="T58" s="49">
        <v>73149.88</v>
      </c>
      <c r="X58" s="49" t="s">
        <v>251</v>
      </c>
      <c r="Y58" s="49" t="s">
        <v>252</v>
      </c>
      <c r="Z58" s="49" t="s">
        <v>253</v>
      </c>
      <c r="AA58" s="49" t="s">
        <v>605</v>
      </c>
      <c r="AB58" s="101" t="s">
        <v>627</v>
      </c>
    </row>
    <row r="59" spans="2:28" s="49" customFormat="1" x14ac:dyDescent="0.15">
      <c r="B59" s="136" t="s">
        <v>957</v>
      </c>
      <c r="C59" s="113">
        <v>43120.529861111114</v>
      </c>
      <c r="D59" s="49" t="s">
        <v>250</v>
      </c>
      <c r="E59" s="49">
        <v>180120008</v>
      </c>
      <c r="F59" s="49">
        <v>28.4</v>
      </c>
      <c r="G59" s="49">
        <v>1</v>
      </c>
      <c r="H59" s="49">
        <v>8</v>
      </c>
      <c r="I59" s="49">
        <v>0</v>
      </c>
      <c r="J59" s="49">
        <v>3</v>
      </c>
      <c r="K59" s="49">
        <v>85710</v>
      </c>
      <c r="L59" s="49">
        <v>18780</v>
      </c>
      <c r="M59" s="49">
        <v>0</v>
      </c>
      <c r="N59" s="49">
        <v>66930</v>
      </c>
      <c r="O59" s="49">
        <v>0</v>
      </c>
      <c r="P59" s="49">
        <v>11566</v>
      </c>
      <c r="Q59" s="49">
        <v>0</v>
      </c>
      <c r="R59" s="49">
        <v>55364</v>
      </c>
      <c r="S59" s="49">
        <v>1.72</v>
      </c>
      <c r="T59" s="49">
        <v>95226.08</v>
      </c>
      <c r="X59" s="49" t="s">
        <v>246</v>
      </c>
      <c r="Y59" s="49" t="s">
        <v>247</v>
      </c>
      <c r="Z59" s="49" t="s">
        <v>248</v>
      </c>
      <c r="AA59" s="49" t="s">
        <v>595</v>
      </c>
      <c r="AB59" s="101" t="s">
        <v>628</v>
      </c>
    </row>
    <row r="60" spans="2:28" s="49" customFormat="1" x14ac:dyDescent="0.15">
      <c r="B60" s="136" t="s">
        <v>957</v>
      </c>
      <c r="C60" s="113">
        <v>43120.540972222225</v>
      </c>
      <c r="D60" s="49" t="s">
        <v>243</v>
      </c>
      <c r="E60" s="49">
        <v>180120011</v>
      </c>
      <c r="F60" s="49">
        <v>27.1</v>
      </c>
      <c r="G60" s="49">
        <v>1</v>
      </c>
      <c r="H60" s="49">
        <v>9</v>
      </c>
      <c r="I60" s="49">
        <v>0</v>
      </c>
      <c r="J60" s="49">
        <v>4</v>
      </c>
      <c r="K60" s="49">
        <v>72600</v>
      </c>
      <c r="L60" s="49">
        <v>17010</v>
      </c>
      <c r="M60" s="49">
        <v>0</v>
      </c>
      <c r="N60" s="49">
        <v>55590</v>
      </c>
      <c r="O60" s="49">
        <v>0</v>
      </c>
      <c r="P60" s="49">
        <v>8739</v>
      </c>
      <c r="Q60" s="49">
        <v>0</v>
      </c>
      <c r="R60" s="49">
        <v>46851</v>
      </c>
      <c r="S60" s="49">
        <v>1.72</v>
      </c>
      <c r="T60" s="49">
        <v>80583.72</v>
      </c>
      <c r="X60" s="49" t="s">
        <v>244</v>
      </c>
      <c r="Y60" s="49" t="s">
        <v>245</v>
      </c>
      <c r="Z60" s="49" t="s">
        <v>182</v>
      </c>
      <c r="AA60" s="49" t="s">
        <v>595</v>
      </c>
      <c r="AB60" s="101" t="s">
        <v>629</v>
      </c>
    </row>
    <row r="61" spans="2:28" s="49" customFormat="1" x14ac:dyDescent="0.15">
      <c r="B61" s="136" t="s">
        <v>957</v>
      </c>
      <c r="C61" s="113">
        <v>43120.556250000001</v>
      </c>
      <c r="D61" s="49" t="s">
        <v>165</v>
      </c>
      <c r="E61" s="49">
        <v>180120017</v>
      </c>
      <c r="F61" s="49">
        <v>32.5</v>
      </c>
      <c r="G61" s="49">
        <v>1</v>
      </c>
      <c r="H61" s="49">
        <v>9</v>
      </c>
      <c r="I61" s="49">
        <v>0</v>
      </c>
      <c r="J61" s="49">
        <v>5</v>
      </c>
      <c r="K61" s="49">
        <v>33180</v>
      </c>
      <c r="L61" s="49">
        <v>11110</v>
      </c>
      <c r="M61" s="49">
        <v>0</v>
      </c>
      <c r="N61" s="49">
        <v>22070</v>
      </c>
      <c r="O61" s="49">
        <v>0</v>
      </c>
      <c r="P61" s="49">
        <v>4900</v>
      </c>
      <c r="Q61" s="49">
        <v>0</v>
      </c>
      <c r="R61" s="49">
        <v>17170</v>
      </c>
      <c r="S61" s="49">
        <v>1.72</v>
      </c>
      <c r="T61" s="49">
        <v>29532.399999999998</v>
      </c>
      <c r="X61" s="49" t="s">
        <v>205</v>
      </c>
      <c r="Y61" s="49" t="s">
        <v>206</v>
      </c>
      <c r="Z61" s="49" t="s">
        <v>207</v>
      </c>
      <c r="AA61" s="49" t="s">
        <v>595</v>
      </c>
      <c r="AB61" s="101" t="s">
        <v>617</v>
      </c>
    </row>
    <row r="62" spans="2:28" s="49" customFormat="1" x14ac:dyDescent="0.15">
      <c r="B62" s="136" t="s">
        <v>957</v>
      </c>
      <c r="C62" s="113">
        <v>43120.561805555553</v>
      </c>
      <c r="D62" s="49" t="s">
        <v>257</v>
      </c>
      <c r="E62" s="49">
        <v>180120012</v>
      </c>
      <c r="F62" s="49">
        <v>25.9</v>
      </c>
      <c r="G62" s="49">
        <v>1</v>
      </c>
      <c r="H62" s="49">
        <v>8</v>
      </c>
      <c r="I62" s="49">
        <v>0</v>
      </c>
      <c r="J62" s="49">
        <v>3.5</v>
      </c>
      <c r="K62" s="49">
        <v>64810</v>
      </c>
      <c r="L62" s="49">
        <v>16190</v>
      </c>
      <c r="M62" s="49">
        <v>0</v>
      </c>
      <c r="N62" s="49">
        <v>48620</v>
      </c>
      <c r="O62" s="49">
        <v>0</v>
      </c>
      <c r="P62" s="49">
        <v>6943</v>
      </c>
      <c r="Q62" s="49">
        <v>0</v>
      </c>
      <c r="R62" s="49">
        <v>41677</v>
      </c>
      <c r="S62" s="49">
        <v>1.72</v>
      </c>
      <c r="T62" s="49">
        <v>71684.44</v>
      </c>
      <c r="X62" s="49" t="s">
        <v>258</v>
      </c>
      <c r="Y62" s="49" t="s">
        <v>259</v>
      </c>
      <c r="Z62" s="49" t="s">
        <v>260</v>
      </c>
      <c r="AA62" s="49" t="s">
        <v>605</v>
      </c>
      <c r="AB62" s="101" t="s">
        <v>630</v>
      </c>
    </row>
    <row r="63" spans="2:28" s="49" customFormat="1" x14ac:dyDescent="0.15">
      <c r="B63" s="136" t="s">
        <v>957</v>
      </c>
      <c r="C63" s="113">
        <v>43120.568749999999</v>
      </c>
      <c r="D63" s="49" t="s">
        <v>152</v>
      </c>
      <c r="E63" s="49">
        <v>180120010</v>
      </c>
      <c r="F63" s="49">
        <v>27</v>
      </c>
      <c r="G63" s="49">
        <v>1.2</v>
      </c>
      <c r="H63" s="49">
        <v>9</v>
      </c>
      <c r="I63" s="49">
        <v>0</v>
      </c>
      <c r="J63" s="49">
        <v>4</v>
      </c>
      <c r="K63" s="49">
        <v>81810</v>
      </c>
      <c r="L63" s="49">
        <v>17020</v>
      </c>
      <c r="M63" s="49">
        <v>130</v>
      </c>
      <c r="N63" s="49">
        <v>64790</v>
      </c>
      <c r="O63" s="49">
        <v>0</v>
      </c>
      <c r="P63" s="49">
        <v>10107</v>
      </c>
      <c r="Q63" s="49">
        <v>0</v>
      </c>
      <c r="R63" s="49">
        <v>54553</v>
      </c>
      <c r="S63" s="49">
        <v>1.72</v>
      </c>
      <c r="T63" s="49">
        <v>93831.16</v>
      </c>
      <c r="X63" s="49" t="s">
        <v>244</v>
      </c>
      <c r="Y63" s="49" t="s">
        <v>245</v>
      </c>
      <c r="Z63" s="49" t="s">
        <v>182</v>
      </c>
      <c r="AA63" s="49" t="s">
        <v>595</v>
      </c>
      <c r="AB63" s="101" t="s">
        <v>629</v>
      </c>
    </row>
    <row r="64" spans="2:28" s="110" customFormat="1" x14ac:dyDescent="0.15">
      <c r="B64" s="136" t="s">
        <v>957</v>
      </c>
      <c r="C64" s="113">
        <v>43120.581944444442</v>
      </c>
      <c r="D64" s="49" t="s">
        <v>208</v>
      </c>
      <c r="E64" s="49">
        <v>180120018</v>
      </c>
      <c r="F64" s="49">
        <v>30.5</v>
      </c>
      <c r="G64" s="49">
        <v>1</v>
      </c>
      <c r="H64" s="49">
        <v>14</v>
      </c>
      <c r="I64" s="49">
        <v>3.2</v>
      </c>
      <c r="J64" s="49">
        <v>10</v>
      </c>
      <c r="K64" s="49">
        <v>36610</v>
      </c>
      <c r="L64" s="49">
        <v>13380</v>
      </c>
      <c r="M64" s="49">
        <v>0</v>
      </c>
      <c r="N64" s="49">
        <v>23230</v>
      </c>
      <c r="O64" s="49">
        <v>139</v>
      </c>
      <c r="P64" s="49">
        <v>4600</v>
      </c>
      <c r="Q64" s="49">
        <v>255</v>
      </c>
      <c r="R64" s="49">
        <v>18236</v>
      </c>
      <c r="S64" s="49">
        <v>1.72</v>
      </c>
      <c r="T64" s="49">
        <v>31365.919999999998</v>
      </c>
      <c r="U64" s="49"/>
      <c r="V64" s="49"/>
      <c r="W64" s="49"/>
      <c r="X64" s="49" t="s">
        <v>285</v>
      </c>
      <c r="Y64" s="49" t="s">
        <v>286</v>
      </c>
      <c r="Z64" s="49" t="s">
        <v>287</v>
      </c>
      <c r="AA64" s="49" t="s">
        <v>595</v>
      </c>
      <c r="AB64" s="101" t="s">
        <v>617</v>
      </c>
    </row>
    <row r="65" spans="2:28" s="49" customFormat="1" x14ac:dyDescent="0.15">
      <c r="B65" s="136" t="s">
        <v>957</v>
      </c>
      <c r="C65" s="109">
        <v>43120.589583333334</v>
      </c>
      <c r="D65" s="110" t="s">
        <v>249</v>
      </c>
      <c r="E65" s="110">
        <v>180120007</v>
      </c>
      <c r="F65" s="110">
        <v>28.5</v>
      </c>
      <c r="G65" s="110">
        <v>1</v>
      </c>
      <c r="H65" s="110">
        <v>8</v>
      </c>
      <c r="I65" s="110">
        <v>0</v>
      </c>
      <c r="J65" s="110">
        <v>3</v>
      </c>
      <c r="K65" s="110">
        <v>86820</v>
      </c>
      <c r="L65" s="110">
        <v>19350</v>
      </c>
      <c r="M65" s="110">
        <v>0</v>
      </c>
      <c r="N65" s="110">
        <v>67470</v>
      </c>
      <c r="O65" s="110">
        <v>0</v>
      </c>
      <c r="P65" s="110">
        <v>11740</v>
      </c>
      <c r="Q65" s="110">
        <v>67</v>
      </c>
      <c r="R65" s="110">
        <v>55663</v>
      </c>
      <c r="S65" s="110">
        <v>1.72</v>
      </c>
      <c r="T65" s="110">
        <v>95855.6</v>
      </c>
      <c r="U65" s="110"/>
      <c r="V65" s="110"/>
      <c r="W65" s="110"/>
      <c r="X65" s="110" t="s">
        <v>289</v>
      </c>
      <c r="Y65" s="110" t="s">
        <v>247</v>
      </c>
      <c r="Z65" s="110" t="s">
        <v>248</v>
      </c>
      <c r="AA65" s="110" t="s">
        <v>595</v>
      </c>
      <c r="AB65" s="111" t="s">
        <v>628</v>
      </c>
    </row>
    <row r="66" spans="2:28" s="49" customFormat="1" x14ac:dyDescent="0.15">
      <c r="B66" s="136" t="s">
        <v>957</v>
      </c>
      <c r="C66" s="113">
        <v>43120.595138888886</v>
      </c>
      <c r="D66" s="49" t="s">
        <v>263</v>
      </c>
      <c r="E66" s="49">
        <v>180120014</v>
      </c>
      <c r="F66" s="49">
        <v>27.2</v>
      </c>
      <c r="G66" s="49">
        <v>1.2</v>
      </c>
      <c r="H66" s="49">
        <v>8</v>
      </c>
      <c r="I66" s="49">
        <v>0</v>
      </c>
      <c r="J66" s="49">
        <v>3</v>
      </c>
      <c r="K66" s="49">
        <v>81470</v>
      </c>
      <c r="L66" s="49">
        <v>20030</v>
      </c>
      <c r="M66" s="49">
        <v>123</v>
      </c>
      <c r="N66" s="49">
        <v>61440</v>
      </c>
      <c r="O66" s="49">
        <v>0</v>
      </c>
      <c r="P66" s="49">
        <v>9732</v>
      </c>
      <c r="Q66" s="49">
        <v>0</v>
      </c>
      <c r="R66" s="49">
        <v>51585</v>
      </c>
      <c r="S66" s="49">
        <v>1.72</v>
      </c>
      <c r="T66" s="49">
        <v>88726.2</v>
      </c>
      <c r="X66" s="49" t="s">
        <v>290</v>
      </c>
      <c r="Y66" s="49" t="s">
        <v>255</v>
      </c>
      <c r="Z66" s="49" t="s">
        <v>256</v>
      </c>
      <c r="AA66" s="49" t="s">
        <v>605</v>
      </c>
      <c r="AB66" s="101" t="s">
        <v>631</v>
      </c>
    </row>
    <row r="67" spans="2:28" s="49" customFormat="1" x14ac:dyDescent="0.15">
      <c r="B67" s="136" t="s">
        <v>957</v>
      </c>
      <c r="C67" s="113">
        <v>43120.604166666664</v>
      </c>
      <c r="D67" s="49" t="s">
        <v>270</v>
      </c>
      <c r="E67" s="49">
        <v>180120023</v>
      </c>
      <c r="F67" s="49">
        <v>30.5</v>
      </c>
      <c r="G67" s="49">
        <v>1</v>
      </c>
      <c r="H67" s="49">
        <v>9</v>
      </c>
      <c r="I67" s="49">
        <v>2</v>
      </c>
      <c r="J67" s="49">
        <v>6</v>
      </c>
      <c r="K67" s="49">
        <v>32810</v>
      </c>
      <c r="L67" s="49">
        <v>12240</v>
      </c>
      <c r="M67" s="49">
        <v>0</v>
      </c>
      <c r="N67" s="49">
        <v>20570</v>
      </c>
      <c r="O67" s="49">
        <v>0</v>
      </c>
      <c r="P67" s="49">
        <v>4073</v>
      </c>
      <c r="Q67" s="49">
        <v>0</v>
      </c>
      <c r="R67" s="49">
        <v>16497</v>
      </c>
      <c r="S67" s="49">
        <v>1.72</v>
      </c>
      <c r="T67" s="49">
        <v>28374.84</v>
      </c>
      <c r="X67" s="49" t="s">
        <v>271</v>
      </c>
      <c r="Y67" s="49" t="s">
        <v>272</v>
      </c>
      <c r="Z67" s="49" t="s">
        <v>139</v>
      </c>
      <c r="AA67" s="49" t="s">
        <v>595</v>
      </c>
      <c r="AB67" s="101" t="s">
        <v>632</v>
      </c>
    </row>
    <row r="68" spans="2:28" s="49" customFormat="1" x14ac:dyDescent="0.15">
      <c r="B68" s="136" t="s">
        <v>957</v>
      </c>
      <c r="C68" s="113">
        <v>43120.618750000001</v>
      </c>
      <c r="D68" s="49" t="s">
        <v>116</v>
      </c>
      <c r="E68" s="49">
        <v>180120022</v>
      </c>
      <c r="F68" s="49">
        <v>23.6</v>
      </c>
      <c r="G68" s="49">
        <v>1</v>
      </c>
      <c r="H68" s="49">
        <v>8</v>
      </c>
      <c r="I68" s="49">
        <v>0</v>
      </c>
      <c r="J68" s="49">
        <v>3</v>
      </c>
      <c r="K68" s="49">
        <v>26790</v>
      </c>
      <c r="L68" s="49">
        <v>8490</v>
      </c>
      <c r="M68" s="49">
        <v>0</v>
      </c>
      <c r="N68" s="49">
        <v>18300</v>
      </c>
      <c r="O68" s="49">
        <v>0</v>
      </c>
      <c r="P68" s="49">
        <v>2108</v>
      </c>
      <c r="Q68" s="49">
        <v>0</v>
      </c>
      <c r="R68" s="49">
        <v>16192</v>
      </c>
      <c r="S68" s="49">
        <v>1.72</v>
      </c>
      <c r="T68" s="49">
        <v>27850.239999999998</v>
      </c>
      <c r="X68" s="49" t="s">
        <v>118</v>
      </c>
      <c r="Y68" s="49" t="s">
        <v>117</v>
      </c>
      <c r="Z68" s="49" t="s">
        <v>119</v>
      </c>
      <c r="AA68" s="49" t="s">
        <v>595</v>
      </c>
      <c r="AB68" s="101" t="s">
        <v>599</v>
      </c>
    </row>
    <row r="69" spans="2:28" s="49" customFormat="1" x14ac:dyDescent="0.15">
      <c r="B69" s="136" t="s">
        <v>957</v>
      </c>
      <c r="C69" s="113">
        <v>43120.631944444445</v>
      </c>
      <c r="D69" s="49" t="s">
        <v>262</v>
      </c>
      <c r="E69" s="49">
        <v>180120013</v>
      </c>
      <c r="F69" s="49">
        <v>28.2</v>
      </c>
      <c r="G69" s="49">
        <v>1</v>
      </c>
      <c r="H69" s="49">
        <v>8</v>
      </c>
      <c r="I69" s="49">
        <v>0</v>
      </c>
      <c r="J69" s="49">
        <v>3</v>
      </c>
      <c r="K69" s="49">
        <v>80110</v>
      </c>
      <c r="L69" s="49">
        <v>17140</v>
      </c>
      <c r="M69" s="49">
        <v>0</v>
      </c>
      <c r="N69" s="49">
        <v>62970</v>
      </c>
      <c r="O69" s="49">
        <v>0</v>
      </c>
      <c r="P69" s="49">
        <v>10730</v>
      </c>
      <c r="Q69" s="49">
        <v>0</v>
      </c>
      <c r="R69" s="49">
        <v>52240</v>
      </c>
      <c r="S69" s="49">
        <v>1.72</v>
      </c>
      <c r="T69" s="49">
        <v>89852.800000000003</v>
      </c>
      <c r="X69" s="49" t="s">
        <v>290</v>
      </c>
      <c r="Y69" s="49" t="s">
        <v>255</v>
      </c>
      <c r="Z69" s="49" t="s">
        <v>256</v>
      </c>
      <c r="AA69" s="49" t="s">
        <v>605</v>
      </c>
      <c r="AB69" s="101" t="s">
        <v>631</v>
      </c>
    </row>
    <row r="70" spans="2:28" s="49" customFormat="1" x14ac:dyDescent="0.15">
      <c r="B70" s="136" t="s">
        <v>957</v>
      </c>
      <c r="C70" s="113">
        <v>43120.637499999997</v>
      </c>
      <c r="D70" s="49" t="s">
        <v>273</v>
      </c>
      <c r="E70" s="49">
        <v>180120025</v>
      </c>
      <c r="F70" s="49">
        <v>24.5</v>
      </c>
      <c r="G70" s="49">
        <v>1</v>
      </c>
      <c r="H70" s="49">
        <v>9</v>
      </c>
      <c r="I70" s="49">
        <v>3</v>
      </c>
      <c r="J70" s="49">
        <v>6</v>
      </c>
      <c r="K70" s="49">
        <v>28550</v>
      </c>
      <c r="L70" s="49">
        <v>7320</v>
      </c>
      <c r="M70" s="49">
        <v>0</v>
      </c>
      <c r="N70" s="49">
        <v>21230</v>
      </c>
      <c r="O70" s="49">
        <v>0</v>
      </c>
      <c r="P70" s="49">
        <v>2675</v>
      </c>
      <c r="Q70" s="49">
        <v>0</v>
      </c>
      <c r="R70" s="49">
        <v>18555</v>
      </c>
      <c r="S70" s="49">
        <v>1.72</v>
      </c>
      <c r="T70" s="49">
        <v>31914.6</v>
      </c>
      <c r="X70" s="49" t="s">
        <v>274</v>
      </c>
      <c r="Y70" s="49" t="s">
        <v>275</v>
      </c>
      <c r="Z70" s="49" t="s">
        <v>276</v>
      </c>
      <c r="AA70" s="49" t="s">
        <v>633</v>
      </c>
      <c r="AB70" s="101" t="s">
        <v>634</v>
      </c>
    </row>
    <row r="71" spans="2:28" s="49" customFormat="1" x14ac:dyDescent="0.15">
      <c r="B71" s="136" t="s">
        <v>957</v>
      </c>
      <c r="C71" s="113">
        <v>43120.646527777775</v>
      </c>
      <c r="D71" s="49" t="s">
        <v>264</v>
      </c>
      <c r="E71" s="49">
        <v>180120016</v>
      </c>
      <c r="F71" s="49">
        <v>28.5</v>
      </c>
      <c r="G71" s="49">
        <v>1</v>
      </c>
      <c r="H71" s="49">
        <v>9</v>
      </c>
      <c r="I71" s="49">
        <v>2</v>
      </c>
      <c r="J71" s="49">
        <v>5</v>
      </c>
      <c r="K71" s="49">
        <v>76890</v>
      </c>
      <c r="L71" s="49">
        <v>17270</v>
      </c>
      <c r="M71" s="49">
        <v>0</v>
      </c>
      <c r="N71" s="49">
        <v>59620</v>
      </c>
      <c r="O71" s="49">
        <v>0</v>
      </c>
      <c r="P71" s="49">
        <v>10374</v>
      </c>
      <c r="Q71" s="49">
        <v>0</v>
      </c>
      <c r="R71" s="49">
        <v>49246</v>
      </c>
      <c r="S71" s="49">
        <v>1.72</v>
      </c>
      <c r="T71" s="49">
        <v>84703.12</v>
      </c>
      <c r="X71" s="49" t="s">
        <v>290</v>
      </c>
      <c r="Y71" s="49" t="s">
        <v>255</v>
      </c>
      <c r="Z71" s="49" t="s">
        <v>256</v>
      </c>
      <c r="AA71" s="49" t="s">
        <v>605</v>
      </c>
      <c r="AB71" s="101" t="s">
        <v>631</v>
      </c>
    </row>
    <row r="72" spans="2:28" s="49" customFormat="1" x14ac:dyDescent="0.15">
      <c r="B72" s="136" t="s">
        <v>957</v>
      </c>
      <c r="C72" s="113">
        <v>43120.654166666667</v>
      </c>
      <c r="D72" s="49" t="s">
        <v>288</v>
      </c>
      <c r="E72" s="49">
        <v>180120030</v>
      </c>
      <c r="F72" s="49">
        <v>30.1</v>
      </c>
      <c r="G72" s="49">
        <v>1</v>
      </c>
      <c r="H72" s="49">
        <v>9</v>
      </c>
      <c r="I72" s="49">
        <v>0</v>
      </c>
      <c r="J72" s="49">
        <v>3</v>
      </c>
      <c r="K72" s="49">
        <v>22780</v>
      </c>
      <c r="L72" s="49">
        <v>11420</v>
      </c>
      <c r="M72" s="49">
        <v>0</v>
      </c>
      <c r="N72" s="49">
        <v>11360</v>
      </c>
      <c r="O72" s="49">
        <v>0</v>
      </c>
      <c r="P72" s="49">
        <v>2195</v>
      </c>
      <c r="Q72" s="49">
        <v>0</v>
      </c>
      <c r="R72" s="49">
        <v>9165</v>
      </c>
      <c r="S72" s="49">
        <v>1.72</v>
      </c>
      <c r="T72" s="49">
        <v>15763.8</v>
      </c>
      <c r="X72" s="49" t="s">
        <v>285</v>
      </c>
      <c r="Y72" s="49" t="s">
        <v>286</v>
      </c>
      <c r="Z72" s="49" t="s">
        <v>287</v>
      </c>
      <c r="AA72" s="49" t="s">
        <v>595</v>
      </c>
      <c r="AB72" s="101" t="s">
        <v>635</v>
      </c>
    </row>
    <row r="73" spans="2:28" s="49" customFormat="1" x14ac:dyDescent="0.15">
      <c r="B73" s="136" t="s">
        <v>957</v>
      </c>
      <c r="C73" s="113">
        <v>43120.660416666666</v>
      </c>
      <c r="D73" s="49" t="s">
        <v>280</v>
      </c>
      <c r="E73" s="49">
        <v>180120028</v>
      </c>
      <c r="F73" s="49">
        <v>27.4</v>
      </c>
      <c r="G73" s="49">
        <v>1</v>
      </c>
      <c r="H73" s="49">
        <v>9</v>
      </c>
      <c r="I73" s="49">
        <v>2</v>
      </c>
      <c r="J73" s="49">
        <v>5</v>
      </c>
      <c r="K73" s="49">
        <v>30600</v>
      </c>
      <c r="L73" s="49">
        <v>6950</v>
      </c>
      <c r="M73" s="49">
        <v>0</v>
      </c>
      <c r="N73" s="49">
        <v>23650</v>
      </c>
      <c r="O73" s="49">
        <v>0</v>
      </c>
      <c r="P73" s="49">
        <v>3803</v>
      </c>
      <c r="Q73" s="49">
        <v>0</v>
      </c>
      <c r="R73" s="49">
        <v>19847</v>
      </c>
      <c r="S73" s="49">
        <v>1.72</v>
      </c>
      <c r="T73" s="49">
        <v>34136.839999999997</v>
      </c>
      <c r="X73" s="49" t="s">
        <v>277</v>
      </c>
      <c r="Y73" s="49" t="s">
        <v>278</v>
      </c>
      <c r="Z73" s="49" t="s">
        <v>279</v>
      </c>
      <c r="AA73" s="49" t="s">
        <v>595</v>
      </c>
      <c r="AB73" s="101" t="s">
        <v>636</v>
      </c>
    </row>
    <row r="74" spans="2:28" s="49" customFormat="1" x14ac:dyDescent="0.15">
      <c r="B74" s="136" t="s">
        <v>957</v>
      </c>
      <c r="C74" s="113">
        <v>43120.679166666669</v>
      </c>
      <c r="D74" s="49" t="s">
        <v>269</v>
      </c>
      <c r="E74" s="49">
        <v>180120021</v>
      </c>
      <c r="F74" s="49">
        <v>25.6</v>
      </c>
      <c r="G74" s="49">
        <v>1</v>
      </c>
      <c r="H74" s="49">
        <v>8</v>
      </c>
      <c r="I74" s="49">
        <v>0</v>
      </c>
      <c r="J74" s="49">
        <v>3</v>
      </c>
      <c r="K74" s="49">
        <v>76080</v>
      </c>
      <c r="L74" s="49">
        <v>16790</v>
      </c>
      <c r="M74" s="49">
        <v>0</v>
      </c>
      <c r="N74" s="49">
        <v>59290</v>
      </c>
      <c r="O74" s="49">
        <v>0</v>
      </c>
      <c r="P74" s="49">
        <v>8253</v>
      </c>
      <c r="Q74" s="49">
        <v>0</v>
      </c>
      <c r="R74" s="49">
        <v>51037</v>
      </c>
      <c r="S74" s="49">
        <v>1.72</v>
      </c>
      <c r="T74" s="49">
        <v>87783.64</v>
      </c>
      <c r="X74" s="49" t="s">
        <v>266</v>
      </c>
      <c r="Y74" s="49" t="s">
        <v>267</v>
      </c>
      <c r="Z74" s="49" t="s">
        <v>268</v>
      </c>
      <c r="AA74" s="49" t="s">
        <v>595</v>
      </c>
      <c r="AB74" s="101" t="s">
        <v>637</v>
      </c>
    </row>
    <row r="75" spans="2:28" s="49" customFormat="1" x14ac:dyDescent="0.15">
      <c r="B75" s="136" t="s">
        <v>957</v>
      </c>
      <c r="C75" s="113">
        <v>43120.684027777781</v>
      </c>
      <c r="D75" s="49" t="s">
        <v>284</v>
      </c>
      <c r="E75" s="49">
        <v>180120029</v>
      </c>
      <c r="F75" s="49">
        <v>25.6</v>
      </c>
      <c r="G75" s="49">
        <v>1</v>
      </c>
      <c r="H75" s="49">
        <v>8</v>
      </c>
      <c r="I75" s="49">
        <v>0</v>
      </c>
      <c r="J75" s="49">
        <v>3</v>
      </c>
      <c r="K75" s="49">
        <v>55510</v>
      </c>
      <c r="L75" s="49">
        <v>13540</v>
      </c>
      <c r="M75" s="49">
        <v>0</v>
      </c>
      <c r="N75" s="49">
        <v>41970</v>
      </c>
      <c r="O75" s="49">
        <v>0</v>
      </c>
      <c r="P75" s="49">
        <v>5842</v>
      </c>
      <c r="Q75" s="49">
        <v>0</v>
      </c>
      <c r="R75" s="49">
        <v>36128</v>
      </c>
      <c r="S75" s="49">
        <v>1.72</v>
      </c>
      <c r="T75" s="49">
        <v>62140.159999999996</v>
      </c>
      <c r="X75" s="49" t="s">
        <v>281</v>
      </c>
      <c r="Y75" s="49" t="s">
        <v>282</v>
      </c>
      <c r="Z75" s="49" t="s">
        <v>283</v>
      </c>
      <c r="AA75" s="49" t="s">
        <v>595</v>
      </c>
      <c r="AB75" s="101" t="s">
        <v>638</v>
      </c>
    </row>
    <row r="76" spans="2:28" s="49" customFormat="1" x14ac:dyDescent="0.15">
      <c r="B76" s="136" t="s">
        <v>957</v>
      </c>
      <c r="C76" s="113">
        <v>43120.71597222222</v>
      </c>
      <c r="D76" s="49" t="s">
        <v>218</v>
      </c>
      <c r="E76" s="49">
        <v>180120036</v>
      </c>
      <c r="F76" s="49">
        <v>26</v>
      </c>
      <c r="G76" s="49">
        <v>1</v>
      </c>
      <c r="H76" s="49">
        <v>8</v>
      </c>
      <c r="I76" s="49">
        <v>0</v>
      </c>
      <c r="J76" s="49">
        <v>3</v>
      </c>
      <c r="K76" s="49">
        <v>29910</v>
      </c>
      <c r="L76" s="49">
        <v>7050</v>
      </c>
      <c r="M76" s="49">
        <v>0</v>
      </c>
      <c r="N76" s="49">
        <v>22860</v>
      </c>
      <c r="O76" s="49">
        <v>0</v>
      </c>
      <c r="P76" s="49">
        <v>3292</v>
      </c>
      <c r="Q76" s="49">
        <v>0</v>
      </c>
      <c r="R76" s="49">
        <v>19568</v>
      </c>
      <c r="S76" s="49">
        <v>1.72</v>
      </c>
      <c r="T76" s="49">
        <v>33656.959999999999</v>
      </c>
      <c r="X76" s="49" t="s">
        <v>219</v>
      </c>
      <c r="Y76" s="49" t="s">
        <v>220</v>
      </c>
      <c r="Z76" s="49" t="s">
        <v>221</v>
      </c>
      <c r="AA76" s="49" t="s">
        <v>595</v>
      </c>
      <c r="AB76" s="101" t="s">
        <v>621</v>
      </c>
    </row>
    <row r="77" spans="2:28" s="49" customFormat="1" x14ac:dyDescent="0.15">
      <c r="B77" s="136" t="s">
        <v>957</v>
      </c>
      <c r="C77" s="113">
        <v>43120.72152777778</v>
      </c>
      <c r="D77" s="49" t="s">
        <v>265</v>
      </c>
      <c r="E77" s="49">
        <v>180120019</v>
      </c>
      <c r="F77" s="49">
        <v>26.3</v>
      </c>
      <c r="G77" s="49">
        <v>1</v>
      </c>
      <c r="H77" s="49">
        <v>8</v>
      </c>
      <c r="I77" s="49">
        <v>0</v>
      </c>
      <c r="J77" s="49">
        <v>3</v>
      </c>
      <c r="K77" s="49">
        <v>74380</v>
      </c>
      <c r="L77" s="49">
        <v>16970</v>
      </c>
      <c r="M77" s="49">
        <v>0</v>
      </c>
      <c r="N77" s="49">
        <v>57410</v>
      </c>
      <c r="O77" s="49">
        <v>0</v>
      </c>
      <c r="P77" s="49">
        <v>8474</v>
      </c>
      <c r="Q77" s="49">
        <v>0</v>
      </c>
      <c r="R77" s="49">
        <v>48936</v>
      </c>
      <c r="S77" s="49">
        <v>1.72</v>
      </c>
      <c r="T77" s="49">
        <v>84169.919999999998</v>
      </c>
      <c r="X77" s="49" t="s">
        <v>266</v>
      </c>
      <c r="Y77" s="49" t="s">
        <v>267</v>
      </c>
      <c r="Z77" s="49" t="s">
        <v>268</v>
      </c>
      <c r="AA77" s="49" t="s">
        <v>595</v>
      </c>
      <c r="AB77" s="101" t="s">
        <v>637</v>
      </c>
    </row>
    <row r="78" spans="2:28" s="49" customFormat="1" x14ac:dyDescent="0.15">
      <c r="B78" s="136" t="s">
        <v>957</v>
      </c>
      <c r="C78" s="113">
        <v>43120.745833333334</v>
      </c>
      <c r="D78" s="49" t="s">
        <v>298</v>
      </c>
      <c r="E78" s="49">
        <v>180120038</v>
      </c>
      <c r="F78" s="49">
        <v>24.7</v>
      </c>
      <c r="G78" s="49">
        <v>1</v>
      </c>
      <c r="H78" s="49">
        <v>8</v>
      </c>
      <c r="I78" s="49">
        <v>0</v>
      </c>
      <c r="J78" s="49">
        <v>3</v>
      </c>
      <c r="K78" s="49">
        <v>57120</v>
      </c>
      <c r="L78" s="49">
        <v>14660</v>
      </c>
      <c r="M78" s="49">
        <v>0</v>
      </c>
      <c r="N78" s="49">
        <v>42460</v>
      </c>
      <c r="O78" s="49">
        <v>0</v>
      </c>
      <c r="P78" s="49">
        <v>5452</v>
      </c>
      <c r="Q78" s="49">
        <v>0</v>
      </c>
      <c r="R78" s="49">
        <v>37008</v>
      </c>
      <c r="S78" s="49">
        <v>1.72</v>
      </c>
      <c r="T78" s="49">
        <v>63653.760000000002</v>
      </c>
      <c r="X78" s="49" t="s">
        <v>295</v>
      </c>
      <c r="Y78" s="49" t="s">
        <v>296</v>
      </c>
      <c r="Z78" s="49" t="s">
        <v>297</v>
      </c>
      <c r="AA78" s="49" t="s">
        <v>595</v>
      </c>
      <c r="AB78" s="101" t="s">
        <v>639</v>
      </c>
    </row>
    <row r="79" spans="2:28" s="49" customFormat="1" x14ac:dyDescent="0.15">
      <c r="B79" s="136" t="s">
        <v>957</v>
      </c>
      <c r="C79" s="113">
        <v>43120.763888888891</v>
      </c>
      <c r="D79" s="49" t="s">
        <v>153</v>
      </c>
      <c r="E79" s="49">
        <v>180120033</v>
      </c>
      <c r="F79" s="49">
        <v>27.1</v>
      </c>
      <c r="G79" s="49">
        <v>1</v>
      </c>
      <c r="H79" s="49">
        <v>10</v>
      </c>
      <c r="I79" s="49">
        <v>0</v>
      </c>
      <c r="J79" s="49">
        <v>5</v>
      </c>
      <c r="K79" s="49">
        <v>76000</v>
      </c>
      <c r="L79" s="49">
        <v>16900</v>
      </c>
      <c r="M79" s="49">
        <v>0</v>
      </c>
      <c r="N79" s="49">
        <v>59100</v>
      </c>
      <c r="O79" s="49">
        <v>0</v>
      </c>
      <c r="P79" s="49">
        <v>9291</v>
      </c>
      <c r="Q79" s="49">
        <v>0</v>
      </c>
      <c r="R79" s="49">
        <v>49809</v>
      </c>
      <c r="S79" s="49">
        <v>1.72</v>
      </c>
      <c r="T79" s="49">
        <v>85671.48</v>
      </c>
      <c r="X79" s="49" t="s">
        <v>244</v>
      </c>
      <c r="Y79" s="49" t="s">
        <v>245</v>
      </c>
      <c r="Z79" s="49" t="s">
        <v>182</v>
      </c>
      <c r="AA79" s="49" t="s">
        <v>640</v>
      </c>
      <c r="AB79" s="101" t="s">
        <v>629</v>
      </c>
    </row>
    <row r="80" spans="2:28" s="117" customFormat="1" x14ac:dyDescent="0.15">
      <c r="B80" s="136" t="s">
        <v>957</v>
      </c>
      <c r="C80" s="113">
        <v>43120.793055555558</v>
      </c>
      <c r="D80" s="49" t="s">
        <v>294</v>
      </c>
      <c r="E80" s="49">
        <v>180120037</v>
      </c>
      <c r="F80" s="49">
        <v>26.4</v>
      </c>
      <c r="G80" s="49">
        <v>1</v>
      </c>
      <c r="H80" s="49">
        <v>9</v>
      </c>
      <c r="I80" s="49">
        <v>0</v>
      </c>
      <c r="J80" s="49">
        <v>3</v>
      </c>
      <c r="K80" s="49">
        <v>73390</v>
      </c>
      <c r="L80" s="49">
        <v>17430</v>
      </c>
      <c r="M80" s="49">
        <v>0</v>
      </c>
      <c r="N80" s="49">
        <v>55960</v>
      </c>
      <c r="O80" s="49">
        <v>0</v>
      </c>
      <c r="P80" s="49">
        <v>8327</v>
      </c>
      <c r="Q80" s="49">
        <v>0</v>
      </c>
      <c r="R80" s="49">
        <v>47633</v>
      </c>
      <c r="S80" s="49">
        <v>1.72</v>
      </c>
      <c r="T80" s="49">
        <v>81928.759999999995</v>
      </c>
      <c r="U80" s="49"/>
      <c r="V80" s="49"/>
      <c r="W80" s="49"/>
      <c r="X80" s="49" t="s">
        <v>291</v>
      </c>
      <c r="Y80" s="49" t="s">
        <v>292</v>
      </c>
      <c r="Z80" s="49" t="s">
        <v>293</v>
      </c>
      <c r="AA80" s="49" t="s">
        <v>641</v>
      </c>
      <c r="AB80" s="101" t="s">
        <v>642</v>
      </c>
    </row>
    <row r="81" spans="2:28" s="49" customFormat="1" x14ac:dyDescent="0.15">
      <c r="B81" s="136" t="s">
        <v>957</v>
      </c>
      <c r="C81" s="115"/>
      <c r="D81" s="115"/>
      <c r="E81" s="115"/>
      <c r="F81" s="115"/>
      <c r="G81" s="115"/>
      <c r="H81" s="115"/>
      <c r="I81" s="115"/>
      <c r="J81" s="115"/>
      <c r="K81" s="115"/>
      <c r="L81" s="115"/>
      <c r="M81" s="115"/>
      <c r="N81" s="115"/>
      <c r="O81" s="115"/>
      <c r="P81" s="115"/>
      <c r="Q81" s="115"/>
      <c r="R81" s="115"/>
      <c r="S81" s="115"/>
      <c r="T81" s="116"/>
      <c r="U81" s="115"/>
      <c r="V81" s="115"/>
      <c r="W81" s="115"/>
      <c r="X81" s="115"/>
      <c r="Y81" s="115"/>
      <c r="Z81" s="115"/>
      <c r="AA81" s="117"/>
      <c r="AB81" s="118"/>
    </row>
    <row r="82" spans="2:28" s="49" customFormat="1" x14ac:dyDescent="0.15">
      <c r="B82" s="136" t="s">
        <v>957</v>
      </c>
      <c r="C82" s="113">
        <v>43121.440972222219</v>
      </c>
      <c r="D82" s="49" t="s">
        <v>299</v>
      </c>
      <c r="E82" s="49">
        <v>180121004</v>
      </c>
      <c r="F82" s="49">
        <v>28.3</v>
      </c>
      <c r="G82" s="49">
        <v>1</v>
      </c>
      <c r="H82" s="49">
        <v>8</v>
      </c>
      <c r="I82" s="49">
        <v>0</v>
      </c>
      <c r="J82" s="49">
        <v>3</v>
      </c>
      <c r="K82" s="49">
        <v>64370</v>
      </c>
      <c r="L82" s="49">
        <v>16430</v>
      </c>
      <c r="M82" s="49">
        <v>0</v>
      </c>
      <c r="N82" s="49">
        <v>47940</v>
      </c>
      <c r="O82" s="49">
        <v>0</v>
      </c>
      <c r="P82" s="49">
        <v>8227</v>
      </c>
      <c r="Q82" s="49">
        <v>0</v>
      </c>
      <c r="R82" s="49">
        <v>39713</v>
      </c>
      <c r="S82" s="49">
        <v>1.72</v>
      </c>
      <c r="T82" s="49">
        <v>68306.36</v>
      </c>
      <c r="X82" s="49" t="s">
        <v>300</v>
      </c>
      <c r="Y82" s="49" t="s">
        <v>301</v>
      </c>
      <c r="Z82" s="49" t="s">
        <v>302</v>
      </c>
      <c r="AA82" s="49" t="s">
        <v>643</v>
      </c>
      <c r="AB82" s="101" t="s">
        <v>644</v>
      </c>
    </row>
    <row r="83" spans="2:28" s="49" customFormat="1" x14ac:dyDescent="0.15">
      <c r="B83" s="136" t="s">
        <v>957</v>
      </c>
      <c r="C83" s="113">
        <v>43121.445833333331</v>
      </c>
      <c r="D83" s="49" t="s">
        <v>306</v>
      </c>
      <c r="E83" s="49">
        <v>180121002</v>
      </c>
      <c r="F83" s="49">
        <v>27.4</v>
      </c>
      <c r="G83" s="49">
        <v>1</v>
      </c>
      <c r="H83" s="49">
        <v>8</v>
      </c>
      <c r="I83" s="49">
        <v>0</v>
      </c>
      <c r="J83" s="49">
        <v>4</v>
      </c>
      <c r="K83" s="49">
        <v>69890</v>
      </c>
      <c r="L83" s="49">
        <v>16880</v>
      </c>
      <c r="M83" s="49">
        <v>0</v>
      </c>
      <c r="N83" s="49">
        <v>53010</v>
      </c>
      <c r="O83" s="49">
        <v>0</v>
      </c>
      <c r="P83" s="49">
        <v>8524</v>
      </c>
      <c r="Q83" s="49">
        <v>0</v>
      </c>
      <c r="R83" s="49">
        <v>44486</v>
      </c>
      <c r="S83" s="49">
        <v>1.72</v>
      </c>
      <c r="T83" s="49">
        <v>76515.92</v>
      </c>
      <c r="X83" s="49" t="s">
        <v>303</v>
      </c>
      <c r="Y83" s="49" t="s">
        <v>304</v>
      </c>
      <c r="Z83" s="49" t="s">
        <v>305</v>
      </c>
      <c r="AA83" s="49" t="s">
        <v>641</v>
      </c>
      <c r="AB83" s="101" t="s">
        <v>645</v>
      </c>
    </row>
    <row r="84" spans="2:28" s="49" customFormat="1" x14ac:dyDescent="0.15">
      <c r="B84" s="136" t="s">
        <v>957</v>
      </c>
      <c r="C84" s="113">
        <v>43121.486111111109</v>
      </c>
      <c r="D84" s="49" t="s">
        <v>308</v>
      </c>
      <c r="E84" s="49">
        <v>180121010</v>
      </c>
      <c r="F84" s="49">
        <v>24.4</v>
      </c>
      <c r="G84" s="49">
        <v>1</v>
      </c>
      <c r="H84" s="49">
        <v>9</v>
      </c>
      <c r="I84" s="49">
        <v>2</v>
      </c>
      <c r="J84" s="49">
        <v>4</v>
      </c>
      <c r="K84" s="49">
        <v>63340</v>
      </c>
      <c r="L84" s="49">
        <v>16560</v>
      </c>
      <c r="M84" s="49">
        <v>0</v>
      </c>
      <c r="N84" s="49">
        <v>46780</v>
      </c>
      <c r="O84" s="49">
        <v>0</v>
      </c>
      <c r="P84" s="49">
        <v>5838</v>
      </c>
      <c r="Q84" s="49">
        <v>0</v>
      </c>
      <c r="R84" s="49">
        <v>40942</v>
      </c>
      <c r="S84" s="49">
        <v>1.72</v>
      </c>
      <c r="T84" s="49">
        <v>70420.240000000005</v>
      </c>
      <c r="X84" s="49" t="s">
        <v>311</v>
      </c>
      <c r="Y84" s="49" t="s">
        <v>309</v>
      </c>
      <c r="Z84" s="49" t="s">
        <v>310</v>
      </c>
      <c r="AA84" s="49" t="s">
        <v>643</v>
      </c>
      <c r="AB84" s="101" t="s">
        <v>646</v>
      </c>
    </row>
    <row r="85" spans="2:28" s="49" customFormat="1" x14ac:dyDescent="0.15">
      <c r="B85" s="136" t="s">
        <v>957</v>
      </c>
      <c r="C85" s="113">
        <v>43121.491666666669</v>
      </c>
      <c r="D85" s="49" t="s">
        <v>203</v>
      </c>
      <c r="E85" s="49">
        <v>180121009</v>
      </c>
      <c r="F85" s="49">
        <v>26.4</v>
      </c>
      <c r="G85" s="49">
        <v>1</v>
      </c>
      <c r="H85" s="49">
        <v>8</v>
      </c>
      <c r="I85" s="49">
        <v>0</v>
      </c>
      <c r="J85" s="49">
        <v>3</v>
      </c>
      <c r="K85" s="49">
        <v>78790</v>
      </c>
      <c r="L85" s="49">
        <v>18370</v>
      </c>
      <c r="M85" s="49">
        <v>0</v>
      </c>
      <c r="N85" s="49">
        <v>60420</v>
      </c>
      <c r="O85" s="49">
        <v>0</v>
      </c>
      <c r="P85" s="49">
        <v>8990</v>
      </c>
      <c r="Q85" s="49">
        <v>0</v>
      </c>
      <c r="R85" s="49">
        <v>51430</v>
      </c>
      <c r="S85" s="49">
        <v>1.72</v>
      </c>
      <c r="T85" s="49">
        <v>88459.6</v>
      </c>
      <c r="X85" s="49" t="s">
        <v>180</v>
      </c>
      <c r="Y85" s="49" t="s">
        <v>181</v>
      </c>
      <c r="Z85" s="49" t="s">
        <v>182</v>
      </c>
      <c r="AA85" s="49" t="s">
        <v>640</v>
      </c>
      <c r="AB85" s="101" t="s">
        <v>614</v>
      </c>
    </row>
    <row r="86" spans="2:28" s="49" customFormat="1" x14ac:dyDescent="0.15">
      <c r="B86" s="136" t="s">
        <v>957</v>
      </c>
      <c r="C86" s="113">
        <v>43121.536805555559</v>
      </c>
      <c r="D86" s="49" t="s">
        <v>320</v>
      </c>
      <c r="E86" s="49">
        <v>180121007</v>
      </c>
      <c r="F86" s="49">
        <v>23.4</v>
      </c>
      <c r="G86" s="49">
        <v>1</v>
      </c>
      <c r="H86" s="49">
        <v>8</v>
      </c>
      <c r="I86" s="49">
        <v>0</v>
      </c>
      <c r="J86" s="49">
        <v>3</v>
      </c>
      <c r="K86" s="49">
        <v>62540</v>
      </c>
      <c r="L86" s="49">
        <v>14170</v>
      </c>
      <c r="M86" s="49">
        <v>0</v>
      </c>
      <c r="N86" s="49">
        <v>48370</v>
      </c>
      <c r="O86" s="49">
        <v>0</v>
      </c>
      <c r="P86" s="49">
        <v>5456</v>
      </c>
      <c r="Q86" s="49">
        <v>0</v>
      </c>
      <c r="R86" s="49">
        <v>42914</v>
      </c>
      <c r="S86" s="49">
        <v>1.72</v>
      </c>
      <c r="T86" s="49">
        <v>73812.08</v>
      </c>
      <c r="X86" s="49" t="s">
        <v>311</v>
      </c>
      <c r="Y86" s="49" t="s">
        <v>309</v>
      </c>
      <c r="Z86" s="49" t="s">
        <v>310</v>
      </c>
      <c r="AA86" s="49" t="s">
        <v>643</v>
      </c>
      <c r="AB86" s="101" t="s">
        <v>646</v>
      </c>
    </row>
    <row r="87" spans="2:28" s="49" customFormat="1" x14ac:dyDescent="0.15">
      <c r="B87" s="136" t="s">
        <v>957</v>
      </c>
      <c r="C87" s="113">
        <v>43121.55</v>
      </c>
      <c r="D87" s="49" t="s">
        <v>323</v>
      </c>
      <c r="E87" s="49">
        <v>180121012</v>
      </c>
      <c r="F87" s="49">
        <v>27.3</v>
      </c>
      <c r="G87" s="49">
        <v>1.2</v>
      </c>
      <c r="H87" s="49">
        <v>9</v>
      </c>
      <c r="I87" s="49">
        <v>0</v>
      </c>
      <c r="J87" s="49">
        <v>4</v>
      </c>
      <c r="K87" s="49">
        <v>87180</v>
      </c>
      <c r="L87" s="49">
        <v>17640</v>
      </c>
      <c r="M87" s="49">
        <v>139</v>
      </c>
      <c r="N87" s="49">
        <v>69540</v>
      </c>
      <c r="O87" s="49">
        <v>0</v>
      </c>
      <c r="P87" s="49">
        <v>11099</v>
      </c>
      <c r="Q87" s="49">
        <v>0</v>
      </c>
      <c r="R87" s="49">
        <v>58302</v>
      </c>
      <c r="S87" s="49">
        <v>1.72</v>
      </c>
      <c r="T87" s="49">
        <v>100279.44</v>
      </c>
      <c r="X87" s="49" t="s">
        <v>321</v>
      </c>
      <c r="Y87" s="49" t="s">
        <v>322</v>
      </c>
      <c r="Z87" s="49" t="s">
        <v>182</v>
      </c>
      <c r="AA87" s="49" t="s">
        <v>647</v>
      </c>
      <c r="AB87" s="101" t="s">
        <v>648</v>
      </c>
    </row>
    <row r="88" spans="2:28" s="49" customFormat="1" x14ac:dyDescent="0.15">
      <c r="B88" s="136" t="s">
        <v>957</v>
      </c>
      <c r="C88" s="113">
        <v>43121.554166666669</v>
      </c>
      <c r="D88" s="49" t="s">
        <v>257</v>
      </c>
      <c r="E88" s="49">
        <v>180121014</v>
      </c>
      <c r="F88" s="49">
        <v>24.5</v>
      </c>
      <c r="G88" s="49">
        <v>1</v>
      </c>
      <c r="H88" s="49">
        <v>7</v>
      </c>
      <c r="I88" s="49">
        <v>0</v>
      </c>
      <c r="J88" s="49">
        <v>2</v>
      </c>
      <c r="K88" s="49">
        <v>65290</v>
      </c>
      <c r="L88" s="49">
        <v>16090</v>
      </c>
      <c r="M88" s="49">
        <v>0</v>
      </c>
      <c r="N88" s="49">
        <v>49200</v>
      </c>
      <c r="O88" s="49">
        <v>0</v>
      </c>
      <c r="P88" s="49">
        <v>6199</v>
      </c>
      <c r="Q88" s="49">
        <v>0</v>
      </c>
      <c r="R88" s="49">
        <v>43001</v>
      </c>
      <c r="S88" s="49">
        <v>1.72</v>
      </c>
      <c r="T88" s="49">
        <v>73961.72</v>
      </c>
      <c r="X88" s="49" t="s">
        <v>324</v>
      </c>
      <c r="Y88" s="49" t="s">
        <v>325</v>
      </c>
      <c r="Z88" s="49" t="s">
        <v>182</v>
      </c>
      <c r="AA88" s="49" t="s">
        <v>647</v>
      </c>
      <c r="AB88" s="101" t="s">
        <v>649</v>
      </c>
    </row>
    <row r="89" spans="2:28" s="49" customFormat="1" x14ac:dyDescent="0.15">
      <c r="B89" s="136" t="s">
        <v>957</v>
      </c>
      <c r="C89" s="113">
        <v>43121.601388888892</v>
      </c>
      <c r="D89" s="49" t="s">
        <v>328</v>
      </c>
      <c r="E89" s="49">
        <v>180121020</v>
      </c>
      <c r="F89" s="49">
        <v>25.8</v>
      </c>
      <c r="G89" s="49">
        <v>1</v>
      </c>
      <c r="H89" s="49">
        <v>8</v>
      </c>
      <c r="I89" s="49">
        <v>0</v>
      </c>
      <c r="J89" s="49">
        <v>3.5</v>
      </c>
      <c r="K89" s="49">
        <v>77040</v>
      </c>
      <c r="L89" s="49">
        <v>17630</v>
      </c>
      <c r="M89" s="49">
        <v>0</v>
      </c>
      <c r="N89" s="49">
        <v>59410</v>
      </c>
      <c r="O89" s="49">
        <v>0</v>
      </c>
      <c r="P89" s="49">
        <v>8412</v>
      </c>
      <c r="Q89" s="49">
        <v>0</v>
      </c>
      <c r="R89" s="49">
        <v>50998</v>
      </c>
      <c r="S89" s="49">
        <v>1.72</v>
      </c>
      <c r="T89" s="49">
        <v>87716.56</v>
      </c>
      <c r="X89" s="49" t="s">
        <v>180</v>
      </c>
      <c r="Y89" s="49" t="s">
        <v>181</v>
      </c>
      <c r="Z89" s="49" t="s">
        <v>182</v>
      </c>
      <c r="AA89" s="49" t="s">
        <v>640</v>
      </c>
      <c r="AB89" s="101" t="s">
        <v>614</v>
      </c>
    </row>
    <row r="90" spans="2:28" s="49" customFormat="1" x14ac:dyDescent="0.15">
      <c r="B90" s="136" t="s">
        <v>957</v>
      </c>
      <c r="C90" s="113">
        <v>43121.606249999997</v>
      </c>
      <c r="D90" s="49" t="s">
        <v>329</v>
      </c>
      <c r="E90" s="49">
        <v>180121019</v>
      </c>
      <c r="F90" s="49">
        <v>27.4</v>
      </c>
      <c r="G90" s="49">
        <v>1</v>
      </c>
      <c r="H90" s="49">
        <v>8</v>
      </c>
      <c r="I90" s="49">
        <v>0</v>
      </c>
      <c r="J90" s="49">
        <v>3</v>
      </c>
      <c r="K90" s="49">
        <v>76620</v>
      </c>
      <c r="L90" s="49">
        <v>17050</v>
      </c>
      <c r="M90" s="49">
        <v>0</v>
      </c>
      <c r="N90" s="49">
        <v>59570</v>
      </c>
      <c r="O90" s="49">
        <v>0</v>
      </c>
      <c r="P90" s="49">
        <v>9579</v>
      </c>
      <c r="Q90" s="49">
        <v>0</v>
      </c>
      <c r="R90" s="49">
        <v>49991</v>
      </c>
      <c r="S90" s="49">
        <v>1.72</v>
      </c>
      <c r="T90" s="49">
        <v>85984.52</v>
      </c>
      <c r="X90" s="49" t="s">
        <v>312</v>
      </c>
      <c r="Y90" s="49" t="s">
        <v>313</v>
      </c>
      <c r="Z90" s="49" t="s">
        <v>182</v>
      </c>
      <c r="AA90" s="49" t="s">
        <v>640</v>
      </c>
      <c r="AB90" s="101" t="s">
        <v>650</v>
      </c>
    </row>
    <row r="91" spans="2:28" s="49" customFormat="1" x14ac:dyDescent="0.15">
      <c r="B91" s="136" t="s">
        <v>957</v>
      </c>
      <c r="C91" s="113">
        <v>43121.61041666667</v>
      </c>
      <c r="D91" s="49" t="s">
        <v>210</v>
      </c>
      <c r="E91" s="49">
        <v>180121018</v>
      </c>
      <c r="F91" s="49">
        <v>25.7</v>
      </c>
      <c r="G91" s="49">
        <v>1</v>
      </c>
      <c r="H91" s="49">
        <v>8</v>
      </c>
      <c r="I91" s="49">
        <v>0</v>
      </c>
      <c r="J91" s="49">
        <v>3</v>
      </c>
      <c r="K91" s="49">
        <v>74330</v>
      </c>
      <c r="L91" s="49">
        <v>16460</v>
      </c>
      <c r="M91" s="49">
        <v>0</v>
      </c>
      <c r="N91" s="49">
        <v>57870</v>
      </c>
      <c r="O91" s="49">
        <v>0</v>
      </c>
      <c r="P91" s="49">
        <v>8125</v>
      </c>
      <c r="Q91" s="49">
        <v>0</v>
      </c>
      <c r="R91" s="49">
        <v>49745</v>
      </c>
      <c r="S91" s="49">
        <v>1.72</v>
      </c>
      <c r="T91" s="49">
        <v>85561.4</v>
      </c>
      <c r="X91" s="49" t="s">
        <v>180</v>
      </c>
      <c r="Y91" s="49" t="s">
        <v>181</v>
      </c>
      <c r="Z91" s="49" t="s">
        <v>182</v>
      </c>
      <c r="AA91" s="49" t="s">
        <v>640</v>
      </c>
      <c r="AB91" s="101" t="s">
        <v>614</v>
      </c>
    </row>
    <row r="92" spans="2:28" s="49" customFormat="1" x14ac:dyDescent="0.15">
      <c r="B92" s="136" t="s">
        <v>957</v>
      </c>
      <c r="C92" s="113">
        <v>43121.619444444441</v>
      </c>
      <c r="D92" s="49" t="s">
        <v>319</v>
      </c>
      <c r="E92" s="49">
        <v>180121027</v>
      </c>
      <c r="F92" s="49">
        <v>28.8</v>
      </c>
      <c r="G92" s="49">
        <v>1</v>
      </c>
      <c r="H92" s="49">
        <v>10</v>
      </c>
      <c r="I92" s="49">
        <v>3</v>
      </c>
      <c r="J92" s="49">
        <v>6</v>
      </c>
      <c r="K92" s="49">
        <v>13950</v>
      </c>
      <c r="L92" s="49">
        <v>5510</v>
      </c>
      <c r="M92" s="49">
        <v>0</v>
      </c>
      <c r="N92" s="49">
        <v>8440</v>
      </c>
      <c r="O92" s="49">
        <v>0</v>
      </c>
      <c r="P92" s="49">
        <v>1499</v>
      </c>
      <c r="Q92" s="49">
        <v>0</v>
      </c>
      <c r="R92" s="49">
        <v>6941</v>
      </c>
      <c r="S92" s="49">
        <v>1.72</v>
      </c>
      <c r="T92" s="49">
        <v>11938.52</v>
      </c>
      <c r="X92" s="49" t="s">
        <v>317</v>
      </c>
      <c r="Y92" s="49" t="s">
        <v>318</v>
      </c>
      <c r="Z92" s="49" t="s">
        <v>139</v>
      </c>
      <c r="AA92" s="49" t="s">
        <v>643</v>
      </c>
      <c r="AB92" s="101" t="s">
        <v>651</v>
      </c>
    </row>
    <row r="93" spans="2:28" s="49" customFormat="1" x14ac:dyDescent="0.15">
      <c r="B93" s="136" t="s">
        <v>957</v>
      </c>
      <c r="C93" s="113">
        <v>43121.665277777778</v>
      </c>
      <c r="D93" s="49" t="s">
        <v>316</v>
      </c>
      <c r="E93" s="49">
        <v>180121025</v>
      </c>
      <c r="F93" s="49">
        <v>29.9</v>
      </c>
      <c r="G93" s="49">
        <v>1</v>
      </c>
      <c r="H93" s="49">
        <v>9</v>
      </c>
      <c r="I93" s="49">
        <v>1</v>
      </c>
      <c r="J93" s="49">
        <v>4</v>
      </c>
      <c r="K93" s="49">
        <v>29260</v>
      </c>
      <c r="L93" s="49">
        <v>7690</v>
      </c>
      <c r="M93" s="49">
        <v>0</v>
      </c>
      <c r="N93" s="49">
        <v>21570</v>
      </c>
      <c r="O93" s="49">
        <v>0</v>
      </c>
      <c r="P93" s="49">
        <v>4116</v>
      </c>
      <c r="Q93" s="49">
        <v>0</v>
      </c>
      <c r="R93" s="49">
        <v>17454</v>
      </c>
      <c r="S93" s="49">
        <v>1.72</v>
      </c>
      <c r="T93" s="49">
        <v>30020.880000000001</v>
      </c>
      <c r="X93" s="49" t="s">
        <v>314</v>
      </c>
      <c r="Y93" s="49" t="s">
        <v>315</v>
      </c>
      <c r="Z93" s="49" t="s">
        <v>139</v>
      </c>
      <c r="AA93" s="49" t="s">
        <v>652</v>
      </c>
      <c r="AB93" s="101" t="s">
        <v>653</v>
      </c>
    </row>
    <row r="94" spans="2:28" s="49" customFormat="1" x14ac:dyDescent="0.15">
      <c r="B94" s="136" t="s">
        <v>957</v>
      </c>
      <c r="C94" s="113">
        <v>43121.683333333334</v>
      </c>
      <c r="D94" s="49" t="s">
        <v>184</v>
      </c>
      <c r="E94" s="49">
        <v>180121026</v>
      </c>
      <c r="F94" s="49">
        <v>31.7</v>
      </c>
      <c r="G94" s="49">
        <v>1.5</v>
      </c>
      <c r="H94" s="49">
        <v>9</v>
      </c>
      <c r="I94" s="49">
        <v>1</v>
      </c>
      <c r="J94" s="49">
        <v>4</v>
      </c>
      <c r="K94" s="49">
        <v>51620</v>
      </c>
      <c r="L94" s="49">
        <v>14120</v>
      </c>
      <c r="M94" s="49">
        <v>188</v>
      </c>
      <c r="N94" s="49">
        <v>37500</v>
      </c>
      <c r="O94" s="49">
        <v>0</v>
      </c>
      <c r="P94" s="49">
        <v>7965</v>
      </c>
      <c r="Q94" s="49">
        <v>0</v>
      </c>
      <c r="R94" s="49">
        <v>29347</v>
      </c>
      <c r="S94" s="49">
        <v>1.72</v>
      </c>
      <c r="T94" s="49">
        <v>50476.84</v>
      </c>
      <c r="X94" s="49" t="s">
        <v>185</v>
      </c>
      <c r="Y94" s="49" t="s">
        <v>186</v>
      </c>
      <c r="Z94" s="49" t="s">
        <v>187</v>
      </c>
      <c r="AA94" s="49" t="s">
        <v>641</v>
      </c>
      <c r="AB94" s="101" t="s">
        <v>615</v>
      </c>
    </row>
    <row r="95" spans="2:28" s="49" customFormat="1" x14ac:dyDescent="0.15">
      <c r="B95" s="136" t="s">
        <v>957</v>
      </c>
      <c r="C95" s="113">
        <v>43121.696527777778</v>
      </c>
      <c r="D95" s="49" t="s">
        <v>202</v>
      </c>
      <c r="E95" s="49">
        <v>180121030</v>
      </c>
      <c r="F95" s="49">
        <v>26.9</v>
      </c>
      <c r="G95" s="49">
        <v>1</v>
      </c>
      <c r="H95" s="49">
        <v>8.5</v>
      </c>
      <c r="I95" s="49">
        <v>0</v>
      </c>
      <c r="J95" s="49">
        <v>3</v>
      </c>
      <c r="K95" s="49">
        <v>79610</v>
      </c>
      <c r="L95" s="49">
        <v>17540</v>
      </c>
      <c r="M95" s="49">
        <v>0</v>
      </c>
      <c r="N95" s="49">
        <v>62070</v>
      </c>
      <c r="O95" s="49">
        <v>0</v>
      </c>
      <c r="P95" s="49">
        <v>9608</v>
      </c>
      <c r="Q95" s="49">
        <v>0</v>
      </c>
      <c r="R95" s="49">
        <v>52462</v>
      </c>
      <c r="S95" s="49">
        <v>1.72</v>
      </c>
      <c r="T95" s="49">
        <v>90234.64</v>
      </c>
      <c r="X95" s="49" t="s">
        <v>326</v>
      </c>
      <c r="Y95" s="49" t="s">
        <v>327</v>
      </c>
      <c r="Z95" s="49" t="s">
        <v>182</v>
      </c>
      <c r="AA95" s="49" t="s">
        <v>654</v>
      </c>
      <c r="AB95" s="101" t="s">
        <v>655</v>
      </c>
    </row>
    <row r="96" spans="2:28" s="49" customFormat="1" x14ac:dyDescent="0.15">
      <c r="B96" s="136" t="s">
        <v>957</v>
      </c>
      <c r="C96" s="113">
        <v>43121.712500000001</v>
      </c>
      <c r="D96" s="49" t="s">
        <v>166</v>
      </c>
      <c r="E96" s="49">
        <v>180121040</v>
      </c>
      <c r="F96" s="49">
        <v>28.5</v>
      </c>
      <c r="G96" s="49">
        <v>1</v>
      </c>
      <c r="H96" s="49">
        <v>8.5</v>
      </c>
      <c r="I96" s="49">
        <v>0</v>
      </c>
      <c r="J96" s="49">
        <v>3.5</v>
      </c>
      <c r="K96" s="49">
        <v>32360</v>
      </c>
      <c r="L96" s="49">
        <v>10280</v>
      </c>
      <c r="M96" s="49">
        <v>0</v>
      </c>
      <c r="N96" s="49">
        <v>22080</v>
      </c>
      <c r="O96" s="49">
        <v>0</v>
      </c>
      <c r="P96" s="49">
        <v>3842</v>
      </c>
      <c r="Q96" s="49">
        <v>0</v>
      </c>
      <c r="R96" s="49">
        <v>18238</v>
      </c>
      <c r="S96" s="49">
        <v>1.72</v>
      </c>
      <c r="T96" s="49">
        <v>31369.360000000001</v>
      </c>
      <c r="X96" s="49" t="s">
        <v>155</v>
      </c>
      <c r="Y96" s="49" t="s">
        <v>156</v>
      </c>
      <c r="Z96" s="49" t="s">
        <v>157</v>
      </c>
      <c r="AA96" s="49" t="s">
        <v>643</v>
      </c>
      <c r="AB96" s="101" t="s">
        <v>608</v>
      </c>
    </row>
    <row r="97" spans="2:28" s="49" customFormat="1" x14ac:dyDescent="0.15">
      <c r="B97" s="136" t="s">
        <v>957</v>
      </c>
      <c r="C97" s="113">
        <v>43121.728472222225</v>
      </c>
      <c r="D97" s="49" t="s">
        <v>337</v>
      </c>
      <c r="E97" s="49">
        <v>180121041</v>
      </c>
      <c r="F97" s="49">
        <v>23.7</v>
      </c>
      <c r="G97" s="49">
        <v>1</v>
      </c>
      <c r="H97" s="49">
        <v>9</v>
      </c>
      <c r="I97" s="49">
        <v>0</v>
      </c>
      <c r="J97" s="49">
        <v>3.5</v>
      </c>
      <c r="K97" s="49">
        <v>25130</v>
      </c>
      <c r="L97" s="49">
        <v>7330</v>
      </c>
      <c r="M97" s="49">
        <v>0</v>
      </c>
      <c r="N97" s="49">
        <v>17800</v>
      </c>
      <c r="O97" s="49">
        <v>0</v>
      </c>
      <c r="P97" s="49">
        <v>2072</v>
      </c>
      <c r="Q97" s="49">
        <v>0</v>
      </c>
      <c r="R97" s="49">
        <v>15728</v>
      </c>
      <c r="S97" s="49">
        <v>1.72</v>
      </c>
      <c r="T97" s="49">
        <v>27052.16</v>
      </c>
      <c r="X97" s="49" t="s">
        <v>244</v>
      </c>
      <c r="Y97" s="49" t="s">
        <v>245</v>
      </c>
      <c r="Z97" s="49" t="s">
        <v>182</v>
      </c>
      <c r="AA97" s="49" t="s">
        <v>647</v>
      </c>
      <c r="AB97" s="101" t="s">
        <v>629</v>
      </c>
    </row>
    <row r="98" spans="2:28" s="49" customFormat="1" x14ac:dyDescent="0.15">
      <c r="B98" s="136" t="s">
        <v>957</v>
      </c>
      <c r="C98" s="113">
        <v>43121.740277777775</v>
      </c>
      <c r="D98" s="49" t="s">
        <v>222</v>
      </c>
      <c r="E98" s="49">
        <v>180121032</v>
      </c>
      <c r="F98" s="49">
        <v>29.9</v>
      </c>
      <c r="G98" s="49">
        <v>1.2</v>
      </c>
      <c r="H98" s="49">
        <v>10</v>
      </c>
      <c r="I98" s="49">
        <v>3</v>
      </c>
      <c r="J98" s="49">
        <v>6</v>
      </c>
      <c r="K98" s="49">
        <v>49680</v>
      </c>
      <c r="L98" s="49">
        <v>11610</v>
      </c>
      <c r="M98" s="49">
        <v>76</v>
      </c>
      <c r="N98" s="49">
        <v>38070</v>
      </c>
      <c r="O98" s="49">
        <v>0</v>
      </c>
      <c r="P98" s="49">
        <v>7264</v>
      </c>
      <c r="Q98" s="49">
        <v>0</v>
      </c>
      <c r="R98" s="49">
        <v>30730</v>
      </c>
      <c r="S98" s="49">
        <v>1.72</v>
      </c>
      <c r="T98" s="49">
        <v>52855.6</v>
      </c>
      <c r="X98" s="49" t="s">
        <v>223</v>
      </c>
      <c r="Y98" s="49" t="s">
        <v>199</v>
      </c>
      <c r="Z98" s="49" t="s">
        <v>256</v>
      </c>
      <c r="AA98" s="49" t="s">
        <v>640</v>
      </c>
      <c r="AB98" s="101" t="s">
        <v>619</v>
      </c>
    </row>
    <row r="99" spans="2:28" s="49" customFormat="1" x14ac:dyDescent="0.15">
      <c r="B99" s="136" t="s">
        <v>957</v>
      </c>
      <c r="C99" s="113">
        <v>43121.745138888888</v>
      </c>
      <c r="D99" s="49" t="s">
        <v>338</v>
      </c>
      <c r="E99" s="49">
        <v>180121042</v>
      </c>
      <c r="F99" s="49">
        <v>27.5</v>
      </c>
      <c r="G99" s="49">
        <v>1</v>
      </c>
      <c r="H99" s="49">
        <v>9</v>
      </c>
      <c r="I99" s="49">
        <v>0</v>
      </c>
      <c r="J99" s="49">
        <v>4</v>
      </c>
      <c r="K99" s="49">
        <v>21690</v>
      </c>
      <c r="L99" s="49">
        <v>7110</v>
      </c>
      <c r="M99" s="49">
        <v>0</v>
      </c>
      <c r="N99" s="49">
        <v>14580</v>
      </c>
      <c r="O99" s="49">
        <v>0</v>
      </c>
      <c r="P99" s="49">
        <v>2362</v>
      </c>
      <c r="Q99" s="49">
        <v>0</v>
      </c>
      <c r="R99" s="49">
        <v>12218</v>
      </c>
      <c r="S99" s="49">
        <v>1.72</v>
      </c>
      <c r="T99" s="49">
        <v>21014.959999999999</v>
      </c>
      <c r="X99" s="49" t="s">
        <v>312</v>
      </c>
      <c r="Y99" s="49" t="s">
        <v>313</v>
      </c>
      <c r="Z99" s="49" t="s">
        <v>182</v>
      </c>
      <c r="AA99" s="49" t="s">
        <v>640</v>
      </c>
      <c r="AB99" s="101" t="s">
        <v>650</v>
      </c>
    </row>
    <row r="100" spans="2:28" s="49" customFormat="1" x14ac:dyDescent="0.15">
      <c r="B100" s="136" t="s">
        <v>957</v>
      </c>
      <c r="C100" s="113">
        <v>43121.749305555553</v>
      </c>
      <c r="D100" s="49" t="s">
        <v>330</v>
      </c>
      <c r="E100" s="49">
        <v>180121031</v>
      </c>
      <c r="F100" s="49">
        <v>29</v>
      </c>
      <c r="G100" s="49">
        <v>1.2</v>
      </c>
      <c r="H100" s="49">
        <v>9</v>
      </c>
      <c r="I100" s="49">
        <v>2</v>
      </c>
      <c r="J100" s="49">
        <v>5</v>
      </c>
      <c r="K100" s="49">
        <v>88860</v>
      </c>
      <c r="L100" s="49">
        <v>18020</v>
      </c>
      <c r="M100" s="49">
        <v>142</v>
      </c>
      <c r="N100" s="49">
        <v>70840</v>
      </c>
      <c r="O100" s="49">
        <v>0</v>
      </c>
      <c r="P100" s="49">
        <v>12751</v>
      </c>
      <c r="Q100" s="49">
        <v>0</v>
      </c>
      <c r="R100" s="49">
        <v>57947</v>
      </c>
      <c r="S100" s="49">
        <v>1.72</v>
      </c>
      <c r="T100" s="49">
        <v>99668.84</v>
      </c>
      <c r="X100" s="49" t="s">
        <v>331</v>
      </c>
      <c r="Y100" s="49" t="s">
        <v>199</v>
      </c>
      <c r="Z100" s="49" t="s">
        <v>256</v>
      </c>
      <c r="AA100" s="49" t="s">
        <v>640</v>
      </c>
      <c r="AB100" s="101" t="s">
        <v>619</v>
      </c>
    </row>
    <row r="101" spans="2:28" s="49" customFormat="1" x14ac:dyDescent="0.15">
      <c r="B101" s="136" t="s">
        <v>957</v>
      </c>
      <c r="C101" s="113">
        <v>43121.76458333333</v>
      </c>
      <c r="D101" s="49" t="s">
        <v>336</v>
      </c>
      <c r="E101" s="49">
        <v>180121038</v>
      </c>
      <c r="F101" s="49">
        <v>25.3</v>
      </c>
      <c r="G101" s="49">
        <v>1</v>
      </c>
      <c r="H101" s="49">
        <v>8</v>
      </c>
      <c r="I101" s="49">
        <v>0</v>
      </c>
      <c r="J101" s="49">
        <v>3.5</v>
      </c>
      <c r="K101" s="49">
        <v>40270</v>
      </c>
      <c r="L101" s="49">
        <v>12510</v>
      </c>
      <c r="M101" s="49">
        <v>0</v>
      </c>
      <c r="N101" s="49">
        <v>27760</v>
      </c>
      <c r="O101" s="49">
        <v>0</v>
      </c>
      <c r="P101" s="49">
        <v>3764</v>
      </c>
      <c r="Q101" s="49">
        <v>0</v>
      </c>
      <c r="R101" s="49">
        <v>23996</v>
      </c>
      <c r="S101" s="49">
        <v>1.72</v>
      </c>
      <c r="T101" s="49">
        <v>41273.120000000003</v>
      </c>
      <c r="X101" s="49" t="s">
        <v>333</v>
      </c>
      <c r="Y101" s="49" t="s">
        <v>334</v>
      </c>
      <c r="Z101" s="49" t="s">
        <v>335</v>
      </c>
      <c r="AA101" s="49" t="s">
        <v>643</v>
      </c>
      <c r="AB101" s="101" t="s">
        <v>656</v>
      </c>
    </row>
    <row r="102" spans="2:28" s="49" customFormat="1" x14ac:dyDescent="0.15">
      <c r="B102" s="136" t="s">
        <v>957</v>
      </c>
      <c r="C102" s="113">
        <v>43121.770833333336</v>
      </c>
      <c r="D102" s="49" t="s">
        <v>332</v>
      </c>
      <c r="E102" s="49">
        <v>180121033</v>
      </c>
      <c r="F102" s="49">
        <v>28</v>
      </c>
      <c r="G102" s="49">
        <v>1</v>
      </c>
      <c r="H102" s="49">
        <v>10</v>
      </c>
      <c r="I102" s="49">
        <v>0</v>
      </c>
      <c r="J102" s="49">
        <v>5</v>
      </c>
      <c r="K102" s="49">
        <v>89820</v>
      </c>
      <c r="L102" s="49">
        <v>16670</v>
      </c>
      <c r="M102" s="49">
        <v>0</v>
      </c>
      <c r="N102" s="49">
        <v>73150</v>
      </c>
      <c r="O102" s="49">
        <v>0</v>
      </c>
      <c r="P102" s="49">
        <v>12289</v>
      </c>
      <c r="Q102" s="49">
        <v>0</v>
      </c>
      <c r="R102" s="49">
        <v>60861</v>
      </c>
      <c r="S102" s="49">
        <v>1.72</v>
      </c>
      <c r="T102" s="49">
        <v>104680.92</v>
      </c>
      <c r="X102" s="49" t="s">
        <v>342</v>
      </c>
      <c r="Y102" s="49" t="s">
        <v>199</v>
      </c>
      <c r="Z102" s="49" t="s">
        <v>256</v>
      </c>
      <c r="AA102" s="49" t="s">
        <v>640</v>
      </c>
      <c r="AB102" s="101" t="s">
        <v>619</v>
      </c>
    </row>
    <row r="103" spans="2:28" s="117" customFormat="1" x14ac:dyDescent="0.15">
      <c r="B103" s="136" t="s">
        <v>957</v>
      </c>
      <c r="C103" s="113">
        <v>43121.789583333331</v>
      </c>
      <c r="D103" s="49" t="s">
        <v>341</v>
      </c>
      <c r="E103" s="49">
        <v>180121043</v>
      </c>
      <c r="F103" s="49">
        <v>25.6</v>
      </c>
      <c r="G103" s="49">
        <v>1</v>
      </c>
      <c r="H103" s="49">
        <v>9</v>
      </c>
      <c r="I103" s="49">
        <v>2</v>
      </c>
      <c r="J103" s="49">
        <v>4</v>
      </c>
      <c r="K103" s="49">
        <v>39280</v>
      </c>
      <c r="L103" s="49">
        <v>9170</v>
      </c>
      <c r="M103" s="49">
        <v>0</v>
      </c>
      <c r="N103" s="49">
        <v>30110</v>
      </c>
      <c r="O103" s="49">
        <v>0</v>
      </c>
      <c r="P103" s="49">
        <v>4191</v>
      </c>
      <c r="Q103" s="49">
        <v>0</v>
      </c>
      <c r="R103" s="49">
        <v>25919</v>
      </c>
      <c r="S103" s="49">
        <v>1.72</v>
      </c>
      <c r="T103" s="49">
        <v>44580.68</v>
      </c>
      <c r="U103" s="49"/>
      <c r="V103" s="49"/>
      <c r="W103" s="49"/>
      <c r="X103" s="49" t="s">
        <v>657</v>
      </c>
      <c r="Y103" s="49" t="s">
        <v>339</v>
      </c>
      <c r="Z103" s="49" t="s">
        <v>340</v>
      </c>
      <c r="AA103" s="49" t="s">
        <v>643</v>
      </c>
      <c r="AB103" s="101" t="s">
        <v>658</v>
      </c>
    </row>
    <row r="104" spans="2:28" s="49" customFormat="1" x14ac:dyDescent="0.15">
      <c r="B104" s="136" t="s">
        <v>957</v>
      </c>
      <c r="C104" s="115"/>
      <c r="D104" s="115"/>
      <c r="E104" s="115"/>
      <c r="F104" s="115"/>
      <c r="G104" s="115"/>
      <c r="H104" s="115"/>
      <c r="I104" s="115"/>
      <c r="J104" s="115"/>
      <c r="K104" s="115"/>
      <c r="L104" s="115"/>
      <c r="M104" s="115"/>
      <c r="N104" s="115"/>
      <c r="O104" s="115"/>
      <c r="P104" s="115"/>
      <c r="Q104" s="115"/>
      <c r="R104" s="115"/>
      <c r="S104" s="115"/>
      <c r="T104" s="116"/>
      <c r="U104" s="115"/>
      <c r="V104" s="115"/>
      <c r="W104" s="115"/>
      <c r="X104" s="115"/>
      <c r="Y104" s="115"/>
      <c r="Z104" s="115"/>
      <c r="AA104" s="117"/>
      <c r="AB104" s="118"/>
    </row>
    <row r="105" spans="2:28" s="49" customFormat="1" x14ac:dyDescent="0.15">
      <c r="B105" s="136" t="s">
        <v>957</v>
      </c>
      <c r="C105" s="113">
        <v>43122.420138888891</v>
      </c>
      <c r="D105" s="49" t="s">
        <v>294</v>
      </c>
      <c r="E105" s="49">
        <v>180122001</v>
      </c>
      <c r="F105" s="49">
        <v>27.9</v>
      </c>
      <c r="G105" s="49">
        <v>1</v>
      </c>
      <c r="H105" s="49">
        <v>9</v>
      </c>
      <c r="I105" s="49">
        <v>0</v>
      </c>
      <c r="J105" s="49">
        <v>3</v>
      </c>
      <c r="K105" s="49">
        <v>72830</v>
      </c>
      <c r="L105" s="49">
        <v>17410</v>
      </c>
      <c r="M105" s="49">
        <v>0</v>
      </c>
      <c r="N105" s="49">
        <v>55420</v>
      </c>
      <c r="O105" s="49">
        <v>0</v>
      </c>
      <c r="P105" s="49">
        <v>9244</v>
      </c>
      <c r="Q105" s="49">
        <v>0</v>
      </c>
      <c r="R105" s="49">
        <v>46176</v>
      </c>
      <c r="S105" s="49">
        <v>1.72</v>
      </c>
      <c r="T105" s="49">
        <v>79422.720000000001</v>
      </c>
      <c r="X105" s="49" t="s">
        <v>324</v>
      </c>
      <c r="Y105" s="49" t="s">
        <v>325</v>
      </c>
      <c r="Z105" s="49" t="s">
        <v>182</v>
      </c>
      <c r="AA105" s="49" t="s">
        <v>647</v>
      </c>
      <c r="AB105" s="101" t="s">
        <v>649</v>
      </c>
    </row>
    <row r="106" spans="2:28" s="49" customFormat="1" x14ac:dyDescent="0.15">
      <c r="B106" s="136" t="s">
        <v>957</v>
      </c>
      <c r="C106" s="113">
        <v>43122.475694444445</v>
      </c>
      <c r="D106" s="49" t="s">
        <v>343</v>
      </c>
      <c r="E106" s="49">
        <v>180122003</v>
      </c>
      <c r="F106" s="49">
        <v>30.5</v>
      </c>
      <c r="G106" s="49">
        <v>1</v>
      </c>
      <c r="H106" s="49">
        <v>9</v>
      </c>
      <c r="I106" s="49">
        <v>0</v>
      </c>
      <c r="J106" s="49">
        <v>3</v>
      </c>
      <c r="K106" s="49">
        <v>94090</v>
      </c>
      <c r="L106" s="49">
        <v>22950</v>
      </c>
      <c r="M106" s="49">
        <v>0</v>
      </c>
      <c r="N106" s="49">
        <v>71140</v>
      </c>
      <c r="O106" s="49">
        <v>0</v>
      </c>
      <c r="P106" s="49">
        <v>14086</v>
      </c>
      <c r="Q106" s="49">
        <v>0</v>
      </c>
      <c r="R106" s="49">
        <v>57054</v>
      </c>
      <c r="S106" s="49">
        <v>1.72</v>
      </c>
      <c r="T106" s="49">
        <v>98132.88</v>
      </c>
      <c r="X106" s="49" t="s">
        <v>344</v>
      </c>
      <c r="Y106" s="49" t="s">
        <v>150</v>
      </c>
      <c r="Z106" s="49" t="s">
        <v>151</v>
      </c>
      <c r="AA106" s="49" t="s">
        <v>640</v>
      </c>
      <c r="AB106" s="101" t="s">
        <v>606</v>
      </c>
    </row>
    <row r="107" spans="2:28" s="49" customFormat="1" x14ac:dyDescent="0.15">
      <c r="B107" s="136" t="s">
        <v>957</v>
      </c>
      <c r="C107" s="113">
        <v>43122.507638888892</v>
      </c>
      <c r="D107" s="49" t="s">
        <v>345</v>
      </c>
      <c r="E107" s="49">
        <v>180122004</v>
      </c>
      <c r="F107" s="49">
        <v>30.6</v>
      </c>
      <c r="G107" s="49">
        <v>1</v>
      </c>
      <c r="H107" s="49">
        <v>9</v>
      </c>
      <c r="I107" s="49">
        <v>2</v>
      </c>
      <c r="J107" s="49">
        <v>5</v>
      </c>
      <c r="K107" s="49">
        <v>89960</v>
      </c>
      <c r="L107" s="49">
        <v>23050</v>
      </c>
      <c r="M107" s="49">
        <v>0</v>
      </c>
      <c r="N107" s="49">
        <v>66910</v>
      </c>
      <c r="O107" s="49">
        <v>0</v>
      </c>
      <c r="P107" s="49">
        <v>13328</v>
      </c>
      <c r="Q107" s="49">
        <v>0</v>
      </c>
      <c r="R107" s="49">
        <v>53582</v>
      </c>
      <c r="S107" s="49">
        <v>1.72</v>
      </c>
      <c r="T107" s="49">
        <v>92161.04</v>
      </c>
      <c r="X107" s="49" t="s">
        <v>346</v>
      </c>
      <c r="Y107" s="49" t="s">
        <v>150</v>
      </c>
      <c r="Z107" s="49" t="s">
        <v>347</v>
      </c>
      <c r="AA107" s="49" t="s">
        <v>640</v>
      </c>
      <c r="AB107" s="101" t="s">
        <v>606</v>
      </c>
    </row>
    <row r="108" spans="2:28" s="49" customFormat="1" x14ac:dyDescent="0.15">
      <c r="B108" s="136" t="s">
        <v>957</v>
      </c>
      <c r="C108" s="113">
        <v>43122.51666666667</v>
      </c>
      <c r="D108" s="49" t="s">
        <v>351</v>
      </c>
      <c r="E108" s="49">
        <v>180122009</v>
      </c>
      <c r="F108" s="49">
        <v>25</v>
      </c>
      <c r="G108" s="49">
        <v>1</v>
      </c>
      <c r="H108" s="49">
        <v>7</v>
      </c>
      <c r="I108" s="49">
        <v>0</v>
      </c>
      <c r="J108" s="49">
        <v>2</v>
      </c>
      <c r="K108" s="49">
        <v>48220</v>
      </c>
      <c r="L108" s="49">
        <v>12300</v>
      </c>
      <c r="M108" s="49">
        <v>0</v>
      </c>
      <c r="N108" s="49">
        <v>35920</v>
      </c>
      <c r="O108" s="49">
        <v>0</v>
      </c>
      <c r="P108" s="49">
        <v>4741</v>
      </c>
      <c r="Q108" s="49">
        <v>0</v>
      </c>
      <c r="R108" s="49">
        <v>31179</v>
      </c>
      <c r="S108" s="49">
        <v>1.72</v>
      </c>
      <c r="T108" s="49">
        <v>53627.88</v>
      </c>
      <c r="X108" s="49" t="s">
        <v>348</v>
      </c>
      <c r="Y108" s="49" t="s">
        <v>349</v>
      </c>
      <c r="Z108" s="49" t="s">
        <v>350</v>
      </c>
      <c r="AA108" s="49" t="s">
        <v>641</v>
      </c>
      <c r="AB108" s="101" t="s">
        <v>659</v>
      </c>
    </row>
    <row r="109" spans="2:28" s="49" customFormat="1" x14ac:dyDescent="0.15">
      <c r="B109" s="136" t="s">
        <v>957</v>
      </c>
      <c r="C109" s="113">
        <v>43122.522916666669</v>
      </c>
      <c r="D109" s="49" t="s">
        <v>352</v>
      </c>
      <c r="E109" s="49">
        <v>180122005</v>
      </c>
      <c r="F109" s="49">
        <v>29.2</v>
      </c>
      <c r="G109" s="49">
        <v>1</v>
      </c>
      <c r="H109" s="49">
        <v>8</v>
      </c>
      <c r="I109" s="49">
        <v>0</v>
      </c>
      <c r="J109" s="49">
        <v>3</v>
      </c>
      <c r="K109" s="49">
        <v>77090</v>
      </c>
      <c r="L109" s="49">
        <v>17200</v>
      </c>
      <c r="M109" s="49">
        <v>0</v>
      </c>
      <c r="N109" s="49">
        <v>59890</v>
      </c>
      <c r="O109" s="49">
        <v>0</v>
      </c>
      <c r="P109" s="49">
        <v>10924</v>
      </c>
      <c r="Q109" s="49">
        <v>0</v>
      </c>
      <c r="R109" s="49">
        <v>48966</v>
      </c>
      <c r="S109" s="49">
        <v>1.72</v>
      </c>
      <c r="T109" s="49">
        <v>84221.52</v>
      </c>
      <c r="X109" s="49" t="s">
        <v>312</v>
      </c>
      <c r="Y109" s="49" t="s">
        <v>313</v>
      </c>
      <c r="Z109" s="49" t="s">
        <v>182</v>
      </c>
      <c r="AA109" s="49" t="s">
        <v>640</v>
      </c>
      <c r="AB109" s="101" t="s">
        <v>650</v>
      </c>
    </row>
    <row r="110" spans="2:28" s="49" customFormat="1" x14ac:dyDescent="0.15">
      <c r="B110" s="136" t="s">
        <v>957</v>
      </c>
      <c r="C110" s="113">
        <v>43122.559027777781</v>
      </c>
      <c r="D110" s="49" t="s">
        <v>356</v>
      </c>
      <c r="E110" s="49">
        <v>180122010</v>
      </c>
      <c r="F110" s="49">
        <v>27.6</v>
      </c>
      <c r="G110" s="49">
        <v>1</v>
      </c>
      <c r="H110" s="49">
        <v>10</v>
      </c>
      <c r="I110" s="49">
        <v>2</v>
      </c>
      <c r="J110" s="49">
        <v>4</v>
      </c>
      <c r="K110" s="49">
        <v>83420</v>
      </c>
      <c r="L110" s="49">
        <v>21770</v>
      </c>
      <c r="M110" s="49">
        <v>0</v>
      </c>
      <c r="N110" s="49">
        <v>61650</v>
      </c>
      <c r="O110" s="49">
        <v>0</v>
      </c>
      <c r="P110" s="49">
        <v>10061</v>
      </c>
      <c r="Q110" s="49">
        <v>0</v>
      </c>
      <c r="R110" s="49">
        <v>51589</v>
      </c>
      <c r="S110" s="49">
        <v>1.72</v>
      </c>
      <c r="T110" s="49">
        <v>88733.08</v>
      </c>
      <c r="X110" s="49" t="s">
        <v>149</v>
      </c>
      <c r="Y110" s="49" t="s">
        <v>150</v>
      </c>
      <c r="Z110" s="49" t="s">
        <v>151</v>
      </c>
      <c r="AA110" s="49" t="s">
        <v>640</v>
      </c>
      <c r="AB110" s="101" t="s">
        <v>606</v>
      </c>
    </row>
    <row r="111" spans="2:28" s="49" customFormat="1" x14ac:dyDescent="0.15">
      <c r="B111" s="136" t="s">
        <v>957</v>
      </c>
      <c r="C111" s="113">
        <v>43122.5625</v>
      </c>
      <c r="D111" s="49" t="s">
        <v>357</v>
      </c>
      <c r="E111" s="49">
        <v>180122006</v>
      </c>
      <c r="F111" s="49">
        <v>30.5</v>
      </c>
      <c r="G111" s="49">
        <v>1</v>
      </c>
      <c r="H111" s="49">
        <v>8</v>
      </c>
      <c r="I111" s="49">
        <v>0</v>
      </c>
      <c r="J111" s="49">
        <v>3</v>
      </c>
      <c r="K111" s="49">
        <v>78060</v>
      </c>
      <c r="L111" s="49">
        <v>16790</v>
      </c>
      <c r="M111" s="49">
        <v>0</v>
      </c>
      <c r="N111" s="49">
        <v>61270</v>
      </c>
      <c r="O111" s="49">
        <v>0</v>
      </c>
      <c r="P111" s="49">
        <v>12131</v>
      </c>
      <c r="Q111" s="49">
        <v>0</v>
      </c>
      <c r="R111" s="49">
        <v>49139</v>
      </c>
      <c r="S111" s="49">
        <v>1.72</v>
      </c>
      <c r="T111" s="49">
        <v>84519.08</v>
      </c>
      <c r="X111" s="49" t="s">
        <v>244</v>
      </c>
      <c r="Y111" s="49" t="s">
        <v>245</v>
      </c>
      <c r="Z111" s="49" t="s">
        <v>182</v>
      </c>
      <c r="AA111" s="49" t="s">
        <v>647</v>
      </c>
      <c r="AB111" s="101" t="s">
        <v>629</v>
      </c>
    </row>
    <row r="112" spans="2:28" s="49" customFormat="1" x14ac:dyDescent="0.15">
      <c r="B112" s="136" t="s">
        <v>957</v>
      </c>
      <c r="C112" s="113">
        <v>43122.597916666666</v>
      </c>
      <c r="D112" s="49" t="s">
        <v>358</v>
      </c>
      <c r="E112" s="49">
        <v>180122011</v>
      </c>
      <c r="F112" s="49">
        <v>27.4</v>
      </c>
      <c r="G112" s="49">
        <v>1</v>
      </c>
      <c r="H112" s="49">
        <v>9</v>
      </c>
      <c r="I112" s="49">
        <v>0</v>
      </c>
      <c r="J112" s="49">
        <v>4</v>
      </c>
      <c r="K112" s="49">
        <v>76070</v>
      </c>
      <c r="L112" s="49">
        <v>16910</v>
      </c>
      <c r="M112" s="49">
        <v>0</v>
      </c>
      <c r="N112" s="49">
        <v>59160</v>
      </c>
      <c r="O112" s="49">
        <v>0</v>
      </c>
      <c r="P112" s="49">
        <v>9513</v>
      </c>
      <c r="Q112" s="49">
        <v>0</v>
      </c>
      <c r="R112" s="49">
        <v>49647</v>
      </c>
      <c r="S112" s="49">
        <v>1.72</v>
      </c>
      <c r="T112" s="49">
        <v>85392.84</v>
      </c>
      <c r="X112" s="49" t="s">
        <v>359</v>
      </c>
      <c r="Y112" s="49" t="s">
        <v>360</v>
      </c>
      <c r="Z112" s="49" t="s">
        <v>361</v>
      </c>
      <c r="AA112" s="49" t="s">
        <v>640</v>
      </c>
      <c r="AB112" s="101" t="s">
        <v>660</v>
      </c>
    </row>
    <row r="113" spans="2:28" s="49" customFormat="1" x14ac:dyDescent="0.15">
      <c r="B113" s="136" t="s">
        <v>957</v>
      </c>
      <c r="C113" s="113">
        <v>43122.601388888892</v>
      </c>
      <c r="D113" s="49" t="s">
        <v>362</v>
      </c>
      <c r="E113" s="49">
        <v>180122008</v>
      </c>
      <c r="F113" s="49">
        <v>25</v>
      </c>
      <c r="G113" s="49">
        <v>1</v>
      </c>
      <c r="H113" s="49">
        <v>8</v>
      </c>
      <c r="I113" s="49">
        <v>0</v>
      </c>
      <c r="J113" s="49">
        <v>3</v>
      </c>
      <c r="K113" s="49">
        <v>53590</v>
      </c>
      <c r="L113" s="49">
        <v>11800</v>
      </c>
      <c r="M113" s="49">
        <v>0</v>
      </c>
      <c r="N113" s="49">
        <v>41790</v>
      </c>
      <c r="O113" s="49">
        <v>0</v>
      </c>
      <c r="P113" s="49">
        <v>5516</v>
      </c>
      <c r="Q113" s="49">
        <v>0</v>
      </c>
      <c r="R113" s="49">
        <v>36274</v>
      </c>
      <c r="S113" s="49">
        <v>1.72</v>
      </c>
      <c r="T113" s="49">
        <v>62391.28</v>
      </c>
      <c r="X113" s="49" t="s">
        <v>359</v>
      </c>
      <c r="Y113" s="49" t="s">
        <v>360</v>
      </c>
      <c r="Z113" s="49" t="s">
        <v>361</v>
      </c>
      <c r="AA113" s="49" t="s">
        <v>640</v>
      </c>
      <c r="AB113" s="101" t="s">
        <v>660</v>
      </c>
    </row>
    <row r="114" spans="2:28" s="49" customFormat="1" x14ac:dyDescent="0.15">
      <c r="B114" s="136" t="s">
        <v>957</v>
      </c>
      <c r="C114" s="113">
        <v>43122.606944444444</v>
      </c>
      <c r="D114" s="49" t="s">
        <v>280</v>
      </c>
      <c r="E114" s="49">
        <v>180122015</v>
      </c>
      <c r="F114" s="49">
        <v>23.7</v>
      </c>
      <c r="G114" s="49">
        <v>1</v>
      </c>
      <c r="H114" s="49">
        <v>10</v>
      </c>
      <c r="I114" s="49">
        <v>2</v>
      </c>
      <c r="J114" s="49">
        <v>5</v>
      </c>
      <c r="K114" s="49">
        <v>28930</v>
      </c>
      <c r="L114" s="49">
        <v>6960</v>
      </c>
      <c r="M114" s="49">
        <v>0</v>
      </c>
      <c r="N114" s="49">
        <v>21970</v>
      </c>
      <c r="O114" s="49">
        <v>0</v>
      </c>
      <c r="P114" s="49">
        <v>2557</v>
      </c>
      <c r="Q114" s="49">
        <v>0</v>
      </c>
      <c r="R114" s="49">
        <v>19413</v>
      </c>
      <c r="S114" s="49">
        <v>1.72</v>
      </c>
      <c r="T114" s="49">
        <v>33390.36</v>
      </c>
      <c r="X114" s="49" t="s">
        <v>353</v>
      </c>
      <c r="Y114" s="49" t="s">
        <v>354</v>
      </c>
      <c r="Z114" s="49" t="s">
        <v>355</v>
      </c>
      <c r="AA114" s="49" t="s">
        <v>643</v>
      </c>
      <c r="AB114" s="101" t="s">
        <v>661</v>
      </c>
    </row>
    <row r="115" spans="2:28" s="49" customFormat="1" x14ac:dyDescent="0.15">
      <c r="B115" s="136" t="s">
        <v>957</v>
      </c>
      <c r="C115" s="113">
        <v>43122.644444444442</v>
      </c>
      <c r="D115" s="49" t="s">
        <v>366</v>
      </c>
      <c r="E115" s="49">
        <v>180122013</v>
      </c>
      <c r="F115" s="49">
        <v>29.2</v>
      </c>
      <c r="G115" s="49">
        <v>1</v>
      </c>
      <c r="H115" s="49">
        <v>9</v>
      </c>
      <c r="I115" s="49">
        <v>0</v>
      </c>
      <c r="J115" s="49">
        <v>4</v>
      </c>
      <c r="K115" s="49">
        <v>84000</v>
      </c>
      <c r="L115" s="49">
        <v>19030</v>
      </c>
      <c r="M115" s="49">
        <v>0</v>
      </c>
      <c r="N115" s="49">
        <v>64970</v>
      </c>
      <c r="O115" s="49">
        <v>0</v>
      </c>
      <c r="P115" s="49">
        <v>11851</v>
      </c>
      <c r="Q115" s="49">
        <v>0</v>
      </c>
      <c r="R115" s="49">
        <v>53119</v>
      </c>
      <c r="S115" s="49">
        <v>1.72</v>
      </c>
      <c r="T115" s="49">
        <v>91364.68</v>
      </c>
      <c r="X115" s="49" t="s">
        <v>363</v>
      </c>
      <c r="Y115" s="49" t="s">
        <v>364</v>
      </c>
      <c r="Z115" s="49" t="s">
        <v>365</v>
      </c>
      <c r="AA115" s="49" t="s">
        <v>641</v>
      </c>
      <c r="AB115" s="101" t="s">
        <v>662</v>
      </c>
    </row>
    <row r="116" spans="2:28" s="49" customFormat="1" x14ac:dyDescent="0.15">
      <c r="B116" s="136" t="s">
        <v>957</v>
      </c>
      <c r="C116" s="113">
        <v>43122.65902777778</v>
      </c>
      <c r="D116" s="49" t="s">
        <v>154</v>
      </c>
      <c r="E116" s="49">
        <v>180122017</v>
      </c>
      <c r="F116" s="49">
        <v>30</v>
      </c>
      <c r="G116" s="49">
        <v>1</v>
      </c>
      <c r="H116" s="49">
        <v>8</v>
      </c>
      <c r="I116" s="49">
        <v>0</v>
      </c>
      <c r="J116" s="49">
        <v>4</v>
      </c>
      <c r="K116" s="49">
        <v>27940</v>
      </c>
      <c r="L116" s="49">
        <v>10230</v>
      </c>
      <c r="M116" s="49">
        <v>0</v>
      </c>
      <c r="N116" s="49">
        <v>17710</v>
      </c>
      <c r="O116" s="49">
        <v>0</v>
      </c>
      <c r="P116" s="49">
        <v>3400</v>
      </c>
      <c r="Q116" s="49">
        <v>0</v>
      </c>
      <c r="R116" s="49">
        <v>14310</v>
      </c>
      <c r="S116" s="49">
        <v>1.72</v>
      </c>
      <c r="T116" s="49">
        <v>24613.200000000001</v>
      </c>
      <c r="X116" s="49" t="s">
        <v>155</v>
      </c>
      <c r="Y116" s="49" t="s">
        <v>156</v>
      </c>
      <c r="Z116" s="49" t="s">
        <v>157</v>
      </c>
      <c r="AA116" s="49" t="s">
        <v>643</v>
      </c>
      <c r="AB116" s="101" t="s">
        <v>608</v>
      </c>
    </row>
    <row r="117" spans="2:28" s="49" customFormat="1" x14ac:dyDescent="0.15">
      <c r="B117" s="136" t="s">
        <v>957</v>
      </c>
      <c r="C117" s="113">
        <v>43122.664583333331</v>
      </c>
      <c r="D117" s="49" t="s">
        <v>373</v>
      </c>
      <c r="E117" s="49">
        <v>180122014</v>
      </c>
      <c r="F117" s="49">
        <v>30.3</v>
      </c>
      <c r="G117" s="49">
        <v>1</v>
      </c>
      <c r="H117" s="49">
        <v>9</v>
      </c>
      <c r="I117" s="49">
        <v>0</v>
      </c>
      <c r="J117" s="49">
        <v>4</v>
      </c>
      <c r="K117" s="49">
        <v>80760</v>
      </c>
      <c r="L117" s="49">
        <v>17340</v>
      </c>
      <c r="M117" s="49">
        <v>0</v>
      </c>
      <c r="N117" s="49">
        <v>63420</v>
      </c>
      <c r="O117" s="49">
        <v>0</v>
      </c>
      <c r="P117" s="49">
        <v>12405</v>
      </c>
      <c r="Q117" s="49">
        <v>0</v>
      </c>
      <c r="R117" s="49">
        <v>51015</v>
      </c>
      <c r="S117" s="49">
        <v>1.72</v>
      </c>
      <c r="T117" s="49">
        <v>87745.8</v>
      </c>
      <c r="X117" s="49" t="s">
        <v>370</v>
      </c>
      <c r="Y117" s="49" t="s">
        <v>371</v>
      </c>
      <c r="Z117" s="49" t="s">
        <v>372</v>
      </c>
      <c r="AA117" s="49" t="s">
        <v>641</v>
      </c>
      <c r="AB117" s="101" t="s">
        <v>663</v>
      </c>
    </row>
    <row r="118" spans="2:28" s="49" customFormat="1" x14ac:dyDescent="0.15">
      <c r="B118" s="136" t="s">
        <v>957</v>
      </c>
      <c r="C118" s="113">
        <v>43122.67291666667</v>
      </c>
      <c r="D118" s="49" t="s">
        <v>377</v>
      </c>
      <c r="E118" s="49">
        <v>180122019</v>
      </c>
      <c r="F118" s="49">
        <v>28</v>
      </c>
      <c r="G118" s="49">
        <v>1</v>
      </c>
      <c r="H118" s="49">
        <v>11</v>
      </c>
      <c r="I118" s="49">
        <v>2.5</v>
      </c>
      <c r="J118" s="49">
        <v>7</v>
      </c>
      <c r="K118" s="49">
        <v>26710</v>
      </c>
      <c r="L118" s="49">
        <v>7270</v>
      </c>
      <c r="M118" s="49">
        <v>0</v>
      </c>
      <c r="N118" s="49">
        <v>19440</v>
      </c>
      <c r="O118" s="49">
        <v>0</v>
      </c>
      <c r="P118" s="49">
        <v>3266</v>
      </c>
      <c r="Q118" s="49">
        <v>0</v>
      </c>
      <c r="R118" s="49">
        <v>16174</v>
      </c>
      <c r="S118" s="49">
        <v>1.72</v>
      </c>
      <c r="T118" s="49">
        <v>27819.279999999999</v>
      </c>
      <c r="X118" s="49" t="s">
        <v>374</v>
      </c>
      <c r="Y118" s="49" t="s">
        <v>375</v>
      </c>
      <c r="Z118" s="49" t="s">
        <v>376</v>
      </c>
      <c r="AA118" s="49" t="s">
        <v>643</v>
      </c>
      <c r="AB118" s="101" t="s">
        <v>664</v>
      </c>
    </row>
    <row r="119" spans="2:28" s="49" customFormat="1" x14ac:dyDescent="0.15">
      <c r="B119" s="136" t="s">
        <v>957</v>
      </c>
      <c r="C119" s="113">
        <v>43122.681250000001</v>
      </c>
      <c r="D119" s="49" t="s">
        <v>341</v>
      </c>
      <c r="E119" s="49">
        <v>180122016</v>
      </c>
      <c r="F119" s="49">
        <v>25</v>
      </c>
      <c r="G119" s="49">
        <v>1</v>
      </c>
      <c r="H119" s="49">
        <v>8</v>
      </c>
      <c r="I119" s="49">
        <v>0</v>
      </c>
      <c r="J119" s="49">
        <v>4</v>
      </c>
      <c r="K119" s="49">
        <v>37480</v>
      </c>
      <c r="L119" s="49">
        <v>9160</v>
      </c>
      <c r="M119" s="49">
        <v>0</v>
      </c>
      <c r="N119" s="49">
        <v>28320</v>
      </c>
      <c r="O119" s="49">
        <v>0</v>
      </c>
      <c r="P119" s="49">
        <v>3738</v>
      </c>
      <c r="Q119" s="49">
        <v>0</v>
      </c>
      <c r="R119" s="49">
        <v>24582</v>
      </c>
      <c r="S119" s="49">
        <v>1.72</v>
      </c>
      <c r="T119" s="49">
        <v>42281.04</v>
      </c>
      <c r="X119" s="49" t="s">
        <v>180</v>
      </c>
      <c r="Y119" s="49" t="s">
        <v>181</v>
      </c>
      <c r="Z119" s="49" t="s">
        <v>182</v>
      </c>
      <c r="AA119" s="49" t="s">
        <v>640</v>
      </c>
      <c r="AB119" s="101" t="s">
        <v>614</v>
      </c>
    </row>
    <row r="120" spans="2:28" s="49" customFormat="1" x14ac:dyDescent="0.15">
      <c r="B120" s="136" t="s">
        <v>957</v>
      </c>
      <c r="C120" s="113">
        <v>43122.72152777778</v>
      </c>
      <c r="D120" s="49" t="s">
        <v>378</v>
      </c>
      <c r="E120" s="49">
        <v>180122021</v>
      </c>
      <c r="F120" s="49">
        <v>23.9</v>
      </c>
      <c r="G120" s="49">
        <v>1</v>
      </c>
      <c r="H120" s="49">
        <v>14</v>
      </c>
      <c r="I120" s="49">
        <v>3</v>
      </c>
      <c r="J120" s="49">
        <v>11</v>
      </c>
      <c r="K120" s="49">
        <v>32220</v>
      </c>
      <c r="L120" s="49">
        <v>7690</v>
      </c>
      <c r="M120" s="49">
        <v>0</v>
      </c>
      <c r="N120" s="49">
        <v>24530</v>
      </c>
      <c r="O120" s="49">
        <v>147</v>
      </c>
      <c r="P120" s="49">
        <v>2914</v>
      </c>
      <c r="Q120" s="49">
        <v>307</v>
      </c>
      <c r="R120" s="49">
        <v>21162</v>
      </c>
      <c r="S120" s="49">
        <v>1.72</v>
      </c>
      <c r="T120" s="49">
        <v>36398.639999999999</v>
      </c>
      <c r="X120" s="49" t="s">
        <v>367</v>
      </c>
      <c r="Y120" s="49" t="s">
        <v>368</v>
      </c>
      <c r="Z120" s="49" t="s">
        <v>369</v>
      </c>
      <c r="AA120" s="49" t="s">
        <v>665</v>
      </c>
      <c r="AB120" s="101" t="s">
        <v>666</v>
      </c>
    </row>
    <row r="121" spans="2:28" s="49" customFormat="1" x14ac:dyDescent="0.15">
      <c r="B121" s="136" t="s">
        <v>957</v>
      </c>
      <c r="C121" s="113">
        <v>43122.727777777778</v>
      </c>
      <c r="D121" s="49" t="s">
        <v>232</v>
      </c>
      <c r="E121" s="49">
        <v>180122026</v>
      </c>
      <c r="F121" s="49">
        <v>27.2</v>
      </c>
      <c r="G121" s="49">
        <v>1</v>
      </c>
      <c r="H121" s="49">
        <v>8</v>
      </c>
      <c r="I121" s="49">
        <v>0</v>
      </c>
      <c r="J121" s="49">
        <v>3</v>
      </c>
      <c r="K121" s="49">
        <v>33860</v>
      </c>
      <c r="L121" s="49">
        <v>11960</v>
      </c>
      <c r="M121" s="49">
        <v>0</v>
      </c>
      <c r="N121" s="49">
        <v>21900</v>
      </c>
      <c r="O121" s="49">
        <v>0</v>
      </c>
      <c r="P121" s="49">
        <v>3469</v>
      </c>
      <c r="Q121" s="49">
        <v>0</v>
      </c>
      <c r="R121" s="49">
        <v>18431</v>
      </c>
      <c r="S121" s="49">
        <v>1.72</v>
      </c>
      <c r="T121" s="49">
        <v>31701.32</v>
      </c>
      <c r="X121" s="49" t="s">
        <v>234</v>
      </c>
      <c r="Y121" s="49" t="s">
        <v>235</v>
      </c>
      <c r="Z121" s="49" t="s">
        <v>236</v>
      </c>
      <c r="AA121" s="49" t="s">
        <v>652</v>
      </c>
      <c r="AB121" s="101" t="s">
        <v>625</v>
      </c>
    </row>
    <row r="122" spans="2:28" s="117" customFormat="1" x14ac:dyDescent="0.15">
      <c r="B122" s="136" t="s">
        <v>957</v>
      </c>
      <c r="C122" s="113">
        <v>43122.748611111114</v>
      </c>
      <c r="D122" s="49" t="s">
        <v>316</v>
      </c>
      <c r="E122" s="49">
        <v>180122025</v>
      </c>
      <c r="F122" s="49">
        <v>27.6</v>
      </c>
      <c r="G122" s="49">
        <v>1</v>
      </c>
      <c r="H122" s="49">
        <v>8</v>
      </c>
      <c r="I122" s="49">
        <v>0</v>
      </c>
      <c r="J122" s="49">
        <v>3</v>
      </c>
      <c r="K122" s="49">
        <v>33930</v>
      </c>
      <c r="L122" s="49">
        <v>7750</v>
      </c>
      <c r="M122" s="49">
        <v>0</v>
      </c>
      <c r="N122" s="49">
        <v>26180</v>
      </c>
      <c r="O122" s="49">
        <v>0</v>
      </c>
      <c r="P122" s="49">
        <v>4273</v>
      </c>
      <c r="Q122" s="49">
        <v>0</v>
      </c>
      <c r="R122" s="49">
        <v>21907</v>
      </c>
      <c r="S122" s="49">
        <v>1.72</v>
      </c>
      <c r="T122" s="49">
        <v>37680.04</v>
      </c>
      <c r="U122" s="49"/>
      <c r="V122" s="49"/>
      <c r="W122" s="49"/>
      <c r="X122" s="49" t="s">
        <v>314</v>
      </c>
      <c r="Y122" s="49" t="s">
        <v>315</v>
      </c>
      <c r="Z122" s="49" t="s">
        <v>139</v>
      </c>
      <c r="AA122" s="49" t="s">
        <v>652</v>
      </c>
      <c r="AB122" s="101" t="s">
        <v>653</v>
      </c>
    </row>
    <row r="123" spans="2:28" s="49" customFormat="1" x14ac:dyDescent="0.15">
      <c r="B123" s="136" t="s">
        <v>957</v>
      </c>
      <c r="C123" s="115"/>
      <c r="D123" s="115"/>
      <c r="E123" s="115"/>
      <c r="F123" s="115"/>
      <c r="G123" s="115"/>
      <c r="H123" s="115"/>
      <c r="I123" s="115"/>
      <c r="J123" s="115"/>
      <c r="K123" s="115"/>
      <c r="L123" s="115"/>
      <c r="M123" s="115"/>
      <c r="N123" s="115"/>
      <c r="O123" s="115"/>
      <c r="P123" s="115"/>
      <c r="Q123" s="115"/>
      <c r="R123" s="115"/>
      <c r="S123" s="115"/>
      <c r="T123" s="116"/>
      <c r="U123" s="115"/>
      <c r="V123" s="115"/>
      <c r="W123" s="115"/>
      <c r="X123" s="115"/>
      <c r="Y123" s="115"/>
      <c r="Z123" s="115"/>
      <c r="AA123" s="117"/>
      <c r="AB123" s="118"/>
    </row>
    <row r="124" spans="2:28" s="49" customFormat="1" x14ac:dyDescent="0.15">
      <c r="B124" s="136" t="s">
        <v>957</v>
      </c>
      <c r="C124" s="113">
        <v>43123.504861111112</v>
      </c>
      <c r="D124" s="49" t="s">
        <v>385</v>
      </c>
      <c r="E124" s="49">
        <v>180123005</v>
      </c>
      <c r="F124" s="49">
        <v>26.9</v>
      </c>
      <c r="G124" s="49">
        <v>1</v>
      </c>
      <c r="H124" s="49">
        <v>8</v>
      </c>
      <c r="I124" s="49">
        <v>0</v>
      </c>
      <c r="J124" s="49">
        <v>3</v>
      </c>
      <c r="K124" s="49">
        <v>14560</v>
      </c>
      <c r="L124" s="49">
        <v>4550</v>
      </c>
      <c r="M124" s="49">
        <v>0</v>
      </c>
      <c r="N124" s="49">
        <v>10010</v>
      </c>
      <c r="O124" s="49">
        <v>0</v>
      </c>
      <c r="P124" s="49">
        <v>1550</v>
      </c>
      <c r="Q124" s="49">
        <v>0</v>
      </c>
      <c r="R124" s="49">
        <v>8460</v>
      </c>
      <c r="S124" s="49">
        <v>1.72</v>
      </c>
      <c r="T124" s="49">
        <v>14551.199999999999</v>
      </c>
      <c r="X124" s="49" t="s">
        <v>382</v>
      </c>
      <c r="Y124" s="49" t="s">
        <v>383</v>
      </c>
      <c r="Z124" s="49" t="s">
        <v>384</v>
      </c>
      <c r="AA124" s="49" t="s">
        <v>643</v>
      </c>
      <c r="AB124" s="101" t="s">
        <v>667</v>
      </c>
    </row>
    <row r="125" spans="2:28" s="49" customFormat="1" x14ac:dyDescent="0.15">
      <c r="B125" s="136" t="s">
        <v>957</v>
      </c>
      <c r="C125" s="113">
        <v>43123.573611111111</v>
      </c>
      <c r="D125" s="49" t="s">
        <v>194</v>
      </c>
      <c r="E125" s="49">
        <v>180123006</v>
      </c>
      <c r="F125" s="49">
        <v>26</v>
      </c>
      <c r="G125" s="49">
        <v>1</v>
      </c>
      <c r="H125" s="49">
        <v>8</v>
      </c>
      <c r="I125" s="49">
        <v>0</v>
      </c>
      <c r="J125" s="49">
        <v>3</v>
      </c>
      <c r="K125" s="49">
        <v>50900</v>
      </c>
      <c r="L125" s="49">
        <v>14410</v>
      </c>
      <c r="M125" s="49">
        <v>0</v>
      </c>
      <c r="N125" s="49">
        <v>36490</v>
      </c>
      <c r="O125" s="49">
        <v>0</v>
      </c>
      <c r="P125" s="49">
        <v>5255</v>
      </c>
      <c r="Q125" s="49">
        <v>0</v>
      </c>
      <c r="R125" s="49">
        <v>31235</v>
      </c>
      <c r="S125" s="49">
        <v>1.72</v>
      </c>
      <c r="T125" s="49">
        <v>53724.2</v>
      </c>
      <c r="X125" s="49" t="s">
        <v>195</v>
      </c>
      <c r="Y125" s="49" t="s">
        <v>196</v>
      </c>
      <c r="Z125" s="49" t="s">
        <v>197</v>
      </c>
      <c r="AA125" s="49" t="s">
        <v>643</v>
      </c>
      <c r="AB125" s="101" t="s">
        <v>618</v>
      </c>
    </row>
    <row r="126" spans="2:28" s="49" customFormat="1" x14ac:dyDescent="0.15">
      <c r="B126" s="136" t="s">
        <v>957</v>
      </c>
      <c r="C126" s="113">
        <v>43123.583333333336</v>
      </c>
      <c r="D126" s="49" t="s">
        <v>389</v>
      </c>
      <c r="E126" s="49">
        <v>180123007</v>
      </c>
      <c r="F126" s="49">
        <v>30</v>
      </c>
      <c r="G126" s="49">
        <v>1</v>
      </c>
      <c r="H126" s="49">
        <v>9</v>
      </c>
      <c r="I126" s="49">
        <v>0</v>
      </c>
      <c r="J126" s="49">
        <v>4</v>
      </c>
      <c r="K126" s="49">
        <v>58960</v>
      </c>
      <c r="L126" s="49">
        <v>16930</v>
      </c>
      <c r="M126" s="49">
        <v>0</v>
      </c>
      <c r="N126" s="49">
        <v>42030</v>
      </c>
      <c r="O126" s="49">
        <v>0</v>
      </c>
      <c r="P126" s="49">
        <v>8070</v>
      </c>
      <c r="Q126" s="49">
        <v>0</v>
      </c>
      <c r="R126" s="49">
        <v>33960</v>
      </c>
      <c r="S126" s="49">
        <v>1.72</v>
      </c>
      <c r="T126" s="49">
        <v>58411.199999999997</v>
      </c>
      <c r="X126" s="49" t="s">
        <v>386</v>
      </c>
      <c r="Y126" s="49" t="s">
        <v>387</v>
      </c>
      <c r="Z126" s="49" t="s">
        <v>388</v>
      </c>
      <c r="AA126" s="49" t="s">
        <v>668</v>
      </c>
      <c r="AB126" s="101" t="s">
        <v>669</v>
      </c>
    </row>
    <row r="127" spans="2:28" s="49" customFormat="1" x14ac:dyDescent="0.15">
      <c r="B127" s="136" t="s">
        <v>957</v>
      </c>
      <c r="C127" s="113">
        <v>43123.590277777781</v>
      </c>
      <c r="D127" s="49" t="s">
        <v>319</v>
      </c>
      <c r="E127" s="49">
        <v>180123008</v>
      </c>
      <c r="F127" s="49">
        <v>26.9</v>
      </c>
      <c r="G127" s="49">
        <v>1</v>
      </c>
      <c r="H127" s="49">
        <v>8</v>
      </c>
      <c r="I127" s="49">
        <v>0</v>
      </c>
      <c r="J127" s="49">
        <v>4</v>
      </c>
      <c r="K127" s="49">
        <v>17220</v>
      </c>
      <c r="L127" s="49">
        <v>5510</v>
      </c>
      <c r="M127" s="49">
        <v>0</v>
      </c>
      <c r="N127" s="49">
        <v>11710</v>
      </c>
      <c r="O127" s="49">
        <v>0</v>
      </c>
      <c r="P127" s="49">
        <v>1813</v>
      </c>
      <c r="Q127" s="49">
        <v>0</v>
      </c>
      <c r="R127" s="49">
        <v>9897</v>
      </c>
      <c r="S127" s="49">
        <v>1.72</v>
      </c>
      <c r="T127" s="49">
        <v>17022.84</v>
      </c>
      <c r="X127" s="49" t="s">
        <v>317</v>
      </c>
      <c r="Y127" s="49" t="s">
        <v>318</v>
      </c>
      <c r="Z127" s="49" t="s">
        <v>139</v>
      </c>
      <c r="AA127" s="49" t="s">
        <v>643</v>
      </c>
      <c r="AB127" s="101" t="s">
        <v>651</v>
      </c>
    </row>
    <row r="128" spans="2:28" s="49" customFormat="1" x14ac:dyDescent="0.15">
      <c r="B128" s="136" t="s">
        <v>957</v>
      </c>
      <c r="C128" s="113">
        <v>43123.622916666667</v>
      </c>
      <c r="D128" s="49" t="s">
        <v>393</v>
      </c>
      <c r="E128" s="49">
        <v>180123010</v>
      </c>
      <c r="F128" s="49">
        <v>26.1</v>
      </c>
      <c r="G128" s="49">
        <v>1</v>
      </c>
      <c r="H128" s="49">
        <v>7</v>
      </c>
      <c r="I128" s="49">
        <v>0</v>
      </c>
      <c r="J128" s="49">
        <v>2</v>
      </c>
      <c r="K128" s="49">
        <v>88870</v>
      </c>
      <c r="L128" s="49">
        <v>19380</v>
      </c>
      <c r="M128" s="49">
        <v>0</v>
      </c>
      <c r="N128" s="49">
        <v>69490</v>
      </c>
      <c r="O128" s="49">
        <v>0</v>
      </c>
      <c r="P128" s="49">
        <v>10090</v>
      </c>
      <c r="Q128" s="49">
        <v>0</v>
      </c>
      <c r="R128" s="49">
        <v>59400</v>
      </c>
      <c r="S128" s="49">
        <v>1.72</v>
      </c>
      <c r="T128" s="49">
        <v>102168</v>
      </c>
      <c r="X128" s="49" t="s">
        <v>390</v>
      </c>
      <c r="Y128" s="49" t="s">
        <v>391</v>
      </c>
      <c r="Z128" s="49" t="s">
        <v>392</v>
      </c>
      <c r="AA128" s="49" t="s">
        <v>670</v>
      </c>
      <c r="AB128" s="101" t="s">
        <v>671</v>
      </c>
    </row>
    <row r="129" spans="2:28" s="49" customFormat="1" x14ac:dyDescent="0.15">
      <c r="B129" s="136" t="s">
        <v>957</v>
      </c>
      <c r="C129" s="113">
        <v>43123.633333333331</v>
      </c>
      <c r="D129" s="49" t="s">
        <v>320</v>
      </c>
      <c r="E129" s="49">
        <v>180123014</v>
      </c>
      <c r="F129" s="49">
        <v>24.7</v>
      </c>
      <c r="G129" s="49">
        <v>1</v>
      </c>
      <c r="H129" s="49">
        <v>8</v>
      </c>
      <c r="I129" s="49">
        <v>0</v>
      </c>
      <c r="J129" s="49">
        <v>3</v>
      </c>
      <c r="K129" s="49">
        <v>61660</v>
      </c>
      <c r="L129" s="49">
        <v>14300</v>
      </c>
      <c r="M129" s="49">
        <v>0</v>
      </c>
      <c r="N129" s="49">
        <v>47360</v>
      </c>
      <c r="O129" s="49">
        <v>0</v>
      </c>
      <c r="P129" s="49">
        <v>6081</v>
      </c>
      <c r="Q129" s="49">
        <v>0</v>
      </c>
      <c r="R129" s="49">
        <v>41279</v>
      </c>
      <c r="S129" s="49">
        <v>1.72</v>
      </c>
      <c r="T129" s="49">
        <v>70999.88</v>
      </c>
      <c r="X129" s="49" t="s">
        <v>311</v>
      </c>
      <c r="Y129" s="49" t="s">
        <v>309</v>
      </c>
      <c r="Z129" s="49" t="s">
        <v>310</v>
      </c>
      <c r="AA129" s="49" t="s">
        <v>643</v>
      </c>
      <c r="AB129" s="101" t="s">
        <v>646</v>
      </c>
    </row>
    <row r="130" spans="2:28" s="49" customFormat="1" x14ac:dyDescent="0.15">
      <c r="B130" s="136" t="s">
        <v>957</v>
      </c>
      <c r="C130" s="113">
        <v>43123.646527777775</v>
      </c>
      <c r="D130" s="49" t="s">
        <v>280</v>
      </c>
      <c r="E130" s="49">
        <v>180123015</v>
      </c>
      <c r="F130" s="49">
        <v>23.8</v>
      </c>
      <c r="G130" s="49">
        <v>1</v>
      </c>
      <c r="H130" s="49">
        <v>7</v>
      </c>
      <c r="I130" s="49">
        <v>0</v>
      </c>
      <c r="J130" s="49">
        <v>2</v>
      </c>
      <c r="K130" s="49">
        <v>30740</v>
      </c>
      <c r="L130" s="49">
        <v>6980</v>
      </c>
      <c r="M130" s="49">
        <v>0</v>
      </c>
      <c r="N130" s="49">
        <v>23760</v>
      </c>
      <c r="O130" s="49">
        <v>0</v>
      </c>
      <c r="P130" s="49">
        <v>2794</v>
      </c>
      <c r="Q130" s="49">
        <v>0</v>
      </c>
      <c r="R130" s="49">
        <v>20966</v>
      </c>
      <c r="S130" s="49">
        <v>1.72</v>
      </c>
      <c r="T130" s="49">
        <v>36061.519999999997</v>
      </c>
      <c r="X130" s="49" t="s">
        <v>353</v>
      </c>
      <c r="Y130" s="49" t="s">
        <v>354</v>
      </c>
      <c r="Z130" s="49" t="s">
        <v>355</v>
      </c>
      <c r="AA130" s="49" t="s">
        <v>643</v>
      </c>
      <c r="AB130" s="101" t="s">
        <v>661</v>
      </c>
    </row>
    <row r="131" spans="2:28" s="49" customFormat="1" x14ac:dyDescent="0.15">
      <c r="B131" s="136" t="s">
        <v>957</v>
      </c>
      <c r="C131" s="113">
        <v>43123.6875</v>
      </c>
      <c r="D131" s="49" t="s">
        <v>395</v>
      </c>
      <c r="E131" s="49">
        <v>180123013</v>
      </c>
      <c r="F131" s="49">
        <v>28.3</v>
      </c>
      <c r="G131" s="49">
        <v>1</v>
      </c>
      <c r="H131" s="49">
        <v>8</v>
      </c>
      <c r="I131" s="49">
        <v>0</v>
      </c>
      <c r="J131" s="49">
        <v>3</v>
      </c>
      <c r="K131" s="49">
        <v>86760</v>
      </c>
      <c r="L131" s="49">
        <v>18850</v>
      </c>
      <c r="M131" s="49">
        <v>0</v>
      </c>
      <c r="N131" s="49">
        <v>67910</v>
      </c>
      <c r="O131" s="49">
        <v>0</v>
      </c>
      <c r="P131" s="49">
        <v>11653</v>
      </c>
      <c r="Q131" s="49">
        <v>0</v>
      </c>
      <c r="R131" s="49">
        <v>56257</v>
      </c>
      <c r="S131" s="49">
        <v>1.72</v>
      </c>
      <c r="T131" s="49">
        <v>96762.04</v>
      </c>
      <c r="X131" s="49" t="s">
        <v>390</v>
      </c>
      <c r="Y131" s="49" t="s">
        <v>391</v>
      </c>
      <c r="Z131" s="49" t="s">
        <v>392</v>
      </c>
      <c r="AA131" s="49" t="s">
        <v>670</v>
      </c>
      <c r="AB131" s="101" t="s">
        <v>671</v>
      </c>
    </row>
    <row r="132" spans="2:28" s="49" customFormat="1" x14ac:dyDescent="0.15">
      <c r="B132" s="136" t="s">
        <v>957</v>
      </c>
      <c r="C132" s="113">
        <v>43123.691666666666</v>
      </c>
      <c r="D132" s="49" t="s">
        <v>250</v>
      </c>
      <c r="E132" s="49">
        <v>180123011</v>
      </c>
      <c r="F132" s="49">
        <v>28.3</v>
      </c>
      <c r="G132" s="49">
        <v>1</v>
      </c>
      <c r="H132" s="49">
        <v>8</v>
      </c>
      <c r="I132" s="49">
        <v>0</v>
      </c>
      <c r="J132" s="49">
        <v>3</v>
      </c>
      <c r="K132" s="49">
        <v>85890</v>
      </c>
      <c r="L132" s="49">
        <v>18770</v>
      </c>
      <c r="M132" s="49">
        <v>0</v>
      </c>
      <c r="N132" s="49">
        <v>67120</v>
      </c>
      <c r="O132" s="49">
        <v>0</v>
      </c>
      <c r="P132" s="49">
        <v>11518</v>
      </c>
      <c r="Q132" s="49">
        <v>0</v>
      </c>
      <c r="R132" s="49">
        <v>55602</v>
      </c>
      <c r="S132" s="49">
        <v>1.72</v>
      </c>
      <c r="T132" s="49">
        <v>95635.44</v>
      </c>
      <c r="X132" s="49" t="s">
        <v>390</v>
      </c>
      <c r="Y132" s="49" t="s">
        <v>391</v>
      </c>
      <c r="Z132" s="49" t="s">
        <v>392</v>
      </c>
      <c r="AA132" s="49" t="s">
        <v>670</v>
      </c>
      <c r="AB132" s="101" t="s">
        <v>671</v>
      </c>
    </row>
    <row r="133" spans="2:28" s="49" customFormat="1" x14ac:dyDescent="0.15">
      <c r="B133" s="136" t="s">
        <v>957</v>
      </c>
      <c r="C133" s="113">
        <v>43123.70416666667</v>
      </c>
      <c r="D133" s="49" t="s">
        <v>165</v>
      </c>
      <c r="E133" s="49">
        <v>180123023</v>
      </c>
      <c r="F133" s="49">
        <v>27.5</v>
      </c>
      <c r="G133" s="49">
        <v>1</v>
      </c>
      <c r="H133" s="49">
        <v>8.5</v>
      </c>
      <c r="I133" s="49">
        <v>0</v>
      </c>
      <c r="J133" s="49">
        <v>3.5</v>
      </c>
      <c r="K133" s="49">
        <v>33650</v>
      </c>
      <c r="L133" s="49">
        <v>11070</v>
      </c>
      <c r="M133" s="49">
        <v>0</v>
      </c>
      <c r="N133" s="49">
        <v>22580</v>
      </c>
      <c r="O133" s="49">
        <v>0</v>
      </c>
      <c r="P133" s="49">
        <v>3658</v>
      </c>
      <c r="Q133" s="49">
        <v>0</v>
      </c>
      <c r="R133" s="49">
        <v>18922</v>
      </c>
      <c r="S133" s="49">
        <v>1.72</v>
      </c>
      <c r="T133" s="49">
        <v>32545.84</v>
      </c>
      <c r="X133" s="49" t="s">
        <v>205</v>
      </c>
      <c r="Y133" s="49" t="s">
        <v>206</v>
      </c>
      <c r="Z133" s="49" t="s">
        <v>207</v>
      </c>
      <c r="AA133" s="49" t="s">
        <v>643</v>
      </c>
      <c r="AB133" s="101" t="s">
        <v>617</v>
      </c>
    </row>
    <row r="134" spans="2:28" s="49" customFormat="1" x14ac:dyDescent="0.15">
      <c r="B134" s="136" t="s">
        <v>957</v>
      </c>
      <c r="C134" s="113">
        <v>43123.711111111108</v>
      </c>
      <c r="D134" s="49" t="s">
        <v>308</v>
      </c>
      <c r="E134" s="49">
        <v>180123016</v>
      </c>
      <c r="F134" s="49">
        <v>23</v>
      </c>
      <c r="G134" s="49">
        <v>1</v>
      </c>
      <c r="H134" s="49">
        <v>8</v>
      </c>
      <c r="I134" s="49">
        <v>0</v>
      </c>
      <c r="J134" s="49">
        <v>3</v>
      </c>
      <c r="K134" s="49">
        <v>63890</v>
      </c>
      <c r="L134" s="49">
        <v>16480</v>
      </c>
      <c r="M134" s="49">
        <v>0</v>
      </c>
      <c r="N134" s="49">
        <v>47410</v>
      </c>
      <c r="O134" s="49">
        <v>0</v>
      </c>
      <c r="P134" s="49">
        <v>5120</v>
      </c>
      <c r="Q134" s="49">
        <v>0</v>
      </c>
      <c r="R134" s="49">
        <v>42290</v>
      </c>
      <c r="S134" s="49">
        <v>1.72</v>
      </c>
      <c r="T134" s="49">
        <v>72738.8</v>
      </c>
      <c r="X134" s="49" t="s">
        <v>311</v>
      </c>
      <c r="Y134" s="49" t="s">
        <v>309</v>
      </c>
      <c r="Z134" s="49" t="s">
        <v>310</v>
      </c>
      <c r="AA134" s="49" t="s">
        <v>643</v>
      </c>
      <c r="AB134" s="101" t="s">
        <v>646</v>
      </c>
    </row>
    <row r="135" spans="2:28" s="49" customFormat="1" x14ac:dyDescent="0.15">
      <c r="B135" s="136" t="s">
        <v>957</v>
      </c>
      <c r="C135" s="113">
        <v>43123.71597222222</v>
      </c>
      <c r="D135" s="49" t="s">
        <v>249</v>
      </c>
      <c r="E135" s="49">
        <v>180123018</v>
      </c>
      <c r="F135" s="49">
        <v>28.5</v>
      </c>
      <c r="G135" s="49">
        <v>1</v>
      </c>
      <c r="H135" s="49">
        <v>8</v>
      </c>
      <c r="I135" s="49">
        <v>0</v>
      </c>
      <c r="J135" s="49">
        <v>3</v>
      </c>
      <c r="K135" s="49">
        <v>86160</v>
      </c>
      <c r="L135" s="49">
        <v>19150</v>
      </c>
      <c r="M135" s="49">
        <v>0</v>
      </c>
      <c r="N135" s="49">
        <v>67010</v>
      </c>
      <c r="O135" s="49">
        <v>0</v>
      </c>
      <c r="P135" s="49">
        <v>11660</v>
      </c>
      <c r="Q135" s="49">
        <v>0</v>
      </c>
      <c r="R135" s="49">
        <v>55350</v>
      </c>
      <c r="S135" s="49">
        <v>1.72</v>
      </c>
      <c r="T135" s="49">
        <v>95202</v>
      </c>
      <c r="X135" s="49" t="s">
        <v>390</v>
      </c>
      <c r="Y135" s="49" t="s">
        <v>391</v>
      </c>
      <c r="Z135" s="49" t="s">
        <v>392</v>
      </c>
      <c r="AA135" s="49" t="s">
        <v>670</v>
      </c>
      <c r="AB135" s="101" t="s">
        <v>671</v>
      </c>
    </row>
    <row r="136" spans="2:28" s="49" customFormat="1" x14ac:dyDescent="0.15">
      <c r="B136" s="136" t="s">
        <v>957</v>
      </c>
      <c r="C136" s="113">
        <v>43123.720833333333</v>
      </c>
      <c r="D136" s="49" t="s">
        <v>319</v>
      </c>
      <c r="E136" s="49">
        <v>180123025</v>
      </c>
      <c r="F136" s="49">
        <v>27</v>
      </c>
      <c r="G136" s="49">
        <v>1</v>
      </c>
      <c r="H136" s="49">
        <v>8</v>
      </c>
      <c r="I136" s="49">
        <v>0</v>
      </c>
      <c r="J136" s="49">
        <v>4</v>
      </c>
      <c r="K136" s="49">
        <v>11470</v>
      </c>
      <c r="L136" s="49">
        <v>5500</v>
      </c>
      <c r="M136" s="49">
        <v>0</v>
      </c>
      <c r="N136" s="49">
        <v>5970</v>
      </c>
      <c r="O136" s="49">
        <v>0</v>
      </c>
      <c r="P136" s="49">
        <v>931</v>
      </c>
      <c r="Q136" s="49">
        <v>0</v>
      </c>
      <c r="R136" s="49">
        <v>5039</v>
      </c>
      <c r="S136" s="49">
        <v>1.72</v>
      </c>
      <c r="T136" s="49">
        <v>8667.08</v>
      </c>
      <c r="X136" s="49" t="s">
        <v>317</v>
      </c>
      <c r="Y136" s="49" t="s">
        <v>318</v>
      </c>
      <c r="Z136" s="49" t="s">
        <v>139</v>
      </c>
      <c r="AA136" s="49" t="s">
        <v>643</v>
      </c>
      <c r="AB136" s="101" t="s">
        <v>651</v>
      </c>
    </row>
    <row r="137" spans="2:28" s="49" customFormat="1" x14ac:dyDescent="0.15">
      <c r="B137" s="136" t="s">
        <v>957</v>
      </c>
      <c r="C137" s="113">
        <v>43123.730555555558</v>
      </c>
      <c r="D137" s="49" t="s">
        <v>377</v>
      </c>
      <c r="E137" s="49">
        <v>180123019</v>
      </c>
      <c r="F137" s="49">
        <v>30</v>
      </c>
      <c r="G137" s="49">
        <v>1</v>
      </c>
      <c r="H137" s="49">
        <v>10</v>
      </c>
      <c r="I137" s="49">
        <v>3</v>
      </c>
      <c r="J137" s="49">
        <v>7</v>
      </c>
      <c r="K137" s="49">
        <v>31260</v>
      </c>
      <c r="L137" s="49">
        <v>7260</v>
      </c>
      <c r="M137" s="49">
        <v>0</v>
      </c>
      <c r="N137" s="49">
        <v>24000</v>
      </c>
      <c r="O137" s="49">
        <v>0</v>
      </c>
      <c r="P137" s="49">
        <v>4608</v>
      </c>
      <c r="Q137" s="49">
        <v>60</v>
      </c>
      <c r="R137" s="49">
        <v>19332</v>
      </c>
      <c r="S137" s="49">
        <v>1.72</v>
      </c>
      <c r="T137" s="49">
        <v>33251.040000000001</v>
      </c>
      <c r="X137" s="49" t="s">
        <v>374</v>
      </c>
      <c r="Y137" s="49" t="s">
        <v>375</v>
      </c>
      <c r="Z137" s="49" t="s">
        <v>376</v>
      </c>
      <c r="AA137" s="49" t="s">
        <v>643</v>
      </c>
      <c r="AB137" s="101" t="s">
        <v>664</v>
      </c>
    </row>
    <row r="138" spans="2:28" s="49" customFormat="1" x14ac:dyDescent="0.15">
      <c r="B138" s="136" t="s">
        <v>957</v>
      </c>
      <c r="C138" s="113">
        <v>43123.745833333334</v>
      </c>
      <c r="D138" s="49" t="s">
        <v>397</v>
      </c>
      <c r="E138" s="49">
        <v>180123022</v>
      </c>
      <c r="F138" s="49">
        <v>24.3</v>
      </c>
      <c r="G138" s="49">
        <v>1</v>
      </c>
      <c r="H138" s="49">
        <v>9.5</v>
      </c>
      <c r="I138" s="49">
        <v>0</v>
      </c>
      <c r="J138" s="49">
        <v>6.5</v>
      </c>
      <c r="K138" s="49">
        <v>32840</v>
      </c>
      <c r="L138" s="49">
        <v>7650</v>
      </c>
      <c r="M138" s="49">
        <v>0</v>
      </c>
      <c r="N138" s="49">
        <v>25190</v>
      </c>
      <c r="O138" s="49">
        <v>0</v>
      </c>
      <c r="P138" s="49">
        <v>3113</v>
      </c>
      <c r="Q138" s="49">
        <v>0</v>
      </c>
      <c r="R138" s="49">
        <v>22077</v>
      </c>
      <c r="S138" s="49">
        <v>1.72</v>
      </c>
      <c r="T138" s="49">
        <v>37972.44</v>
      </c>
      <c r="X138" s="49" t="s">
        <v>367</v>
      </c>
      <c r="Y138" s="49" t="s">
        <v>368</v>
      </c>
      <c r="Z138" s="49" t="s">
        <v>369</v>
      </c>
      <c r="AA138" s="49" t="s">
        <v>665</v>
      </c>
      <c r="AB138" s="101" t="s">
        <v>666</v>
      </c>
    </row>
    <row r="139" spans="2:28" s="49" customFormat="1" x14ac:dyDescent="0.15">
      <c r="B139" s="136" t="s">
        <v>957</v>
      </c>
      <c r="C139" s="113">
        <v>43123.750694444447</v>
      </c>
      <c r="D139" s="49" t="s">
        <v>394</v>
      </c>
      <c r="E139" s="49">
        <v>180123012</v>
      </c>
      <c r="F139" s="49">
        <v>24.3</v>
      </c>
      <c r="G139" s="49">
        <v>1</v>
      </c>
      <c r="H139" s="49">
        <v>7</v>
      </c>
      <c r="I139" s="49">
        <v>0</v>
      </c>
      <c r="J139" s="49">
        <v>2</v>
      </c>
      <c r="K139" s="49">
        <v>87030</v>
      </c>
      <c r="L139" s="49">
        <v>19010</v>
      </c>
      <c r="M139" s="49">
        <v>0</v>
      </c>
      <c r="N139" s="49">
        <v>68020</v>
      </c>
      <c r="O139" s="49">
        <v>0</v>
      </c>
      <c r="P139" s="49">
        <v>8407</v>
      </c>
      <c r="Q139" s="49">
        <v>0</v>
      </c>
      <c r="R139" s="49">
        <v>59613</v>
      </c>
      <c r="S139" s="49">
        <v>1.72</v>
      </c>
      <c r="T139" s="49">
        <v>102534.36</v>
      </c>
      <c r="X139" s="49" t="s">
        <v>390</v>
      </c>
      <c r="Y139" s="49" t="s">
        <v>391</v>
      </c>
      <c r="Z139" s="49" t="s">
        <v>392</v>
      </c>
      <c r="AA139" s="49" t="s">
        <v>670</v>
      </c>
      <c r="AB139" s="101" t="s">
        <v>671</v>
      </c>
    </row>
    <row r="140" spans="2:28" s="49" customFormat="1" x14ac:dyDescent="0.15">
      <c r="B140" s="136" t="s">
        <v>957</v>
      </c>
      <c r="C140" s="113">
        <v>43123.754861111112</v>
      </c>
      <c r="D140" s="49" t="s">
        <v>343</v>
      </c>
      <c r="E140" s="49">
        <v>180123017</v>
      </c>
      <c r="F140" s="49">
        <v>23.4</v>
      </c>
      <c r="G140" s="49">
        <v>1</v>
      </c>
      <c r="H140" s="49">
        <v>8</v>
      </c>
      <c r="I140" s="49">
        <v>0</v>
      </c>
      <c r="J140" s="49">
        <v>3</v>
      </c>
      <c r="K140" s="49">
        <v>87860</v>
      </c>
      <c r="L140" s="49">
        <v>22900</v>
      </c>
      <c r="M140" s="49">
        <v>0</v>
      </c>
      <c r="N140" s="49">
        <v>64960</v>
      </c>
      <c r="O140" s="49">
        <v>0</v>
      </c>
      <c r="P140" s="49">
        <v>7327</v>
      </c>
      <c r="Q140" s="49">
        <v>0</v>
      </c>
      <c r="R140" s="49">
        <v>57633</v>
      </c>
      <c r="S140" s="49">
        <v>1.72</v>
      </c>
      <c r="T140" s="49">
        <v>99128.76</v>
      </c>
      <c r="X140" s="49" t="s">
        <v>379</v>
      </c>
      <c r="Y140" s="49" t="s">
        <v>380</v>
      </c>
      <c r="Z140" s="49" t="s">
        <v>381</v>
      </c>
      <c r="AA140" s="49" t="s">
        <v>643</v>
      </c>
      <c r="AB140" s="101" t="s">
        <v>672</v>
      </c>
    </row>
    <row r="141" spans="2:28" s="49" customFormat="1" x14ac:dyDescent="0.15">
      <c r="B141" s="136" t="s">
        <v>957</v>
      </c>
      <c r="C141" s="113">
        <v>43123.759027777778</v>
      </c>
      <c r="D141" s="49" t="s">
        <v>398</v>
      </c>
      <c r="E141" s="49">
        <v>180123026</v>
      </c>
      <c r="F141" s="49">
        <v>29.9</v>
      </c>
      <c r="G141" s="49">
        <v>1</v>
      </c>
      <c r="H141" s="49">
        <v>10</v>
      </c>
      <c r="I141" s="49">
        <v>0</v>
      </c>
      <c r="J141" s="49">
        <v>6</v>
      </c>
      <c r="K141" s="49">
        <v>34190</v>
      </c>
      <c r="L141" s="49">
        <v>7920</v>
      </c>
      <c r="M141" s="49">
        <v>0</v>
      </c>
      <c r="N141" s="49">
        <v>26270</v>
      </c>
      <c r="O141" s="49">
        <v>0</v>
      </c>
      <c r="P141" s="49">
        <v>5012</v>
      </c>
      <c r="Q141" s="49">
        <v>0</v>
      </c>
      <c r="R141" s="49">
        <v>21258</v>
      </c>
      <c r="S141" s="49">
        <v>1.72</v>
      </c>
      <c r="T141" s="49">
        <v>36563.760000000002</v>
      </c>
      <c r="X141" s="49" t="s">
        <v>359</v>
      </c>
      <c r="Y141" s="49" t="s">
        <v>360</v>
      </c>
      <c r="Z141" s="49" t="s">
        <v>361</v>
      </c>
      <c r="AA141" s="49" t="s">
        <v>640</v>
      </c>
      <c r="AB141" s="101" t="s">
        <v>660</v>
      </c>
    </row>
    <row r="142" spans="2:28" s="117" customFormat="1" x14ac:dyDescent="0.15">
      <c r="B142" s="136" t="s">
        <v>957</v>
      </c>
      <c r="C142" s="113">
        <v>43123.786805555559</v>
      </c>
      <c r="D142" s="49" t="s">
        <v>396</v>
      </c>
      <c r="E142" s="49">
        <v>180123020</v>
      </c>
      <c r="F142" s="49">
        <v>30.3</v>
      </c>
      <c r="G142" s="49">
        <v>1</v>
      </c>
      <c r="H142" s="49">
        <v>9</v>
      </c>
      <c r="I142" s="49">
        <v>2</v>
      </c>
      <c r="J142" s="49">
        <v>4</v>
      </c>
      <c r="K142" s="49">
        <v>59850</v>
      </c>
      <c r="L142" s="49">
        <v>14590</v>
      </c>
      <c r="M142" s="49">
        <v>0</v>
      </c>
      <c r="N142" s="49">
        <v>45260</v>
      </c>
      <c r="O142" s="49">
        <v>0</v>
      </c>
      <c r="P142" s="49">
        <v>8853</v>
      </c>
      <c r="Q142" s="49">
        <v>0</v>
      </c>
      <c r="R142" s="49">
        <v>36407</v>
      </c>
      <c r="S142" s="49">
        <v>1.72</v>
      </c>
      <c r="T142" s="49">
        <v>62620.04</v>
      </c>
      <c r="U142" s="49"/>
      <c r="V142" s="49"/>
      <c r="W142" s="49"/>
      <c r="X142" s="49" t="s">
        <v>359</v>
      </c>
      <c r="Y142" s="49" t="s">
        <v>360</v>
      </c>
      <c r="Z142" s="49" t="s">
        <v>361</v>
      </c>
      <c r="AA142" s="49" t="s">
        <v>640</v>
      </c>
      <c r="AB142" s="101" t="s">
        <v>660</v>
      </c>
    </row>
    <row r="143" spans="2:28" s="49" customFormat="1" x14ac:dyDescent="0.15">
      <c r="B143" s="136" t="s">
        <v>957</v>
      </c>
      <c r="C143" s="115"/>
      <c r="D143" s="115"/>
      <c r="E143" s="115"/>
      <c r="F143" s="115"/>
      <c r="G143" s="115"/>
      <c r="H143" s="115"/>
      <c r="I143" s="115"/>
      <c r="J143" s="115"/>
      <c r="K143" s="115"/>
      <c r="L143" s="115"/>
      <c r="M143" s="115"/>
      <c r="N143" s="115"/>
      <c r="O143" s="115"/>
      <c r="P143" s="115"/>
      <c r="Q143" s="115"/>
      <c r="R143" s="115"/>
      <c r="S143" s="115"/>
      <c r="T143" s="116"/>
      <c r="U143" s="115"/>
      <c r="V143" s="115"/>
      <c r="W143" s="115"/>
      <c r="X143" s="115"/>
      <c r="Y143" s="115"/>
      <c r="Z143" s="115"/>
      <c r="AA143" s="117"/>
      <c r="AB143" s="118"/>
    </row>
    <row r="144" spans="2:28" s="49" customFormat="1" x14ac:dyDescent="0.15">
      <c r="B144" s="136" t="s">
        <v>957</v>
      </c>
      <c r="C144" s="113">
        <v>43124.417361111111</v>
      </c>
      <c r="D144" s="49" t="s">
        <v>330</v>
      </c>
      <c r="E144" s="49">
        <v>180124002</v>
      </c>
      <c r="F144" s="49">
        <v>28.2</v>
      </c>
      <c r="G144" s="49">
        <v>1</v>
      </c>
      <c r="H144" s="49">
        <v>8</v>
      </c>
      <c r="I144" s="49">
        <v>0</v>
      </c>
      <c r="J144" s="49">
        <v>3</v>
      </c>
      <c r="K144" s="49">
        <v>88820</v>
      </c>
      <c r="L144" s="49">
        <v>18140</v>
      </c>
      <c r="M144" s="49">
        <v>0</v>
      </c>
      <c r="N144" s="49">
        <v>70680</v>
      </c>
      <c r="O144" s="49">
        <v>0</v>
      </c>
      <c r="P144" s="49">
        <v>12044</v>
      </c>
      <c r="Q144" s="49">
        <v>0</v>
      </c>
      <c r="R144" s="49">
        <v>58636</v>
      </c>
      <c r="S144" s="49">
        <v>1.72</v>
      </c>
      <c r="T144" s="49">
        <v>100853.92</v>
      </c>
      <c r="X144" s="49" t="s">
        <v>400</v>
      </c>
      <c r="Y144" s="49" t="s">
        <v>199</v>
      </c>
      <c r="Z144" s="49" t="s">
        <v>256</v>
      </c>
      <c r="AA144" s="49" t="s">
        <v>640</v>
      </c>
      <c r="AB144" s="101" t="s">
        <v>404</v>
      </c>
    </row>
    <row r="145" spans="2:28" s="49" customFormat="1" x14ac:dyDescent="0.15">
      <c r="B145" s="136" t="s">
        <v>957</v>
      </c>
      <c r="C145" s="113">
        <v>43124.438194444447</v>
      </c>
      <c r="D145" s="49" t="s">
        <v>399</v>
      </c>
      <c r="E145" s="49">
        <v>180124001</v>
      </c>
      <c r="F145" s="49">
        <v>24.9</v>
      </c>
      <c r="G145" s="49">
        <v>1</v>
      </c>
      <c r="H145" s="49">
        <v>8</v>
      </c>
      <c r="I145" s="49">
        <v>0</v>
      </c>
      <c r="J145" s="49">
        <v>3</v>
      </c>
      <c r="K145" s="49">
        <v>91080</v>
      </c>
      <c r="L145" s="49">
        <v>22980</v>
      </c>
      <c r="M145" s="49">
        <v>0</v>
      </c>
      <c r="N145" s="49">
        <v>68100</v>
      </c>
      <c r="O145" s="49">
        <v>0</v>
      </c>
      <c r="P145" s="49">
        <v>8907</v>
      </c>
      <c r="Q145" s="49">
        <v>0</v>
      </c>
      <c r="R145" s="49">
        <v>59193</v>
      </c>
      <c r="S145" s="49">
        <v>1.72</v>
      </c>
      <c r="T145" s="49">
        <v>101811.95999999999</v>
      </c>
      <c r="X145" s="49" t="s">
        <v>149</v>
      </c>
      <c r="Y145" s="49" t="s">
        <v>150</v>
      </c>
      <c r="Z145" s="49" t="s">
        <v>151</v>
      </c>
      <c r="AA145" s="49" t="s">
        <v>640</v>
      </c>
      <c r="AB145" s="101" t="s">
        <v>606</v>
      </c>
    </row>
    <row r="146" spans="2:28" s="49" customFormat="1" x14ac:dyDescent="0.15">
      <c r="B146" s="136" t="s">
        <v>957</v>
      </c>
      <c r="C146" s="113">
        <v>43124.443055555559</v>
      </c>
      <c r="D146" s="49" t="s">
        <v>351</v>
      </c>
      <c r="E146" s="49">
        <v>180124003</v>
      </c>
      <c r="F146" s="49">
        <v>24.3</v>
      </c>
      <c r="G146" s="49">
        <v>1</v>
      </c>
      <c r="H146" s="49">
        <v>8</v>
      </c>
      <c r="I146" s="49">
        <v>0</v>
      </c>
      <c r="J146" s="49">
        <v>3</v>
      </c>
      <c r="K146" s="49">
        <v>48220</v>
      </c>
      <c r="L146" s="49">
        <v>12290</v>
      </c>
      <c r="M146" s="49">
        <v>0</v>
      </c>
      <c r="N146" s="49">
        <v>35930</v>
      </c>
      <c r="O146" s="49">
        <v>0</v>
      </c>
      <c r="P146" s="49">
        <v>4441</v>
      </c>
      <c r="Q146" s="49">
        <v>0</v>
      </c>
      <c r="R146" s="49">
        <v>31489</v>
      </c>
      <c r="S146" s="49">
        <v>1.72</v>
      </c>
      <c r="T146" s="49">
        <v>54161.08</v>
      </c>
      <c r="X146" s="49" t="s">
        <v>348</v>
      </c>
      <c r="Y146" s="49" t="s">
        <v>349</v>
      </c>
      <c r="Z146" s="49" t="s">
        <v>350</v>
      </c>
      <c r="AA146" s="49" t="s">
        <v>405</v>
      </c>
      <c r="AB146" s="101" t="s">
        <v>659</v>
      </c>
    </row>
    <row r="147" spans="2:28" s="49" customFormat="1" x14ac:dyDescent="0.15">
      <c r="B147" s="136" t="s">
        <v>957</v>
      </c>
      <c r="C147" s="113">
        <v>43124.461805555555</v>
      </c>
      <c r="D147" s="49" t="s">
        <v>166</v>
      </c>
      <c r="E147" s="49">
        <v>180124005</v>
      </c>
      <c r="F147" s="49">
        <v>27.9</v>
      </c>
      <c r="G147" s="49">
        <v>1</v>
      </c>
      <c r="H147" s="49">
        <v>10</v>
      </c>
      <c r="I147" s="49">
        <v>0</v>
      </c>
      <c r="J147" s="49">
        <v>7</v>
      </c>
      <c r="K147" s="49">
        <v>33310</v>
      </c>
      <c r="L147" s="49">
        <v>10260</v>
      </c>
      <c r="M147" s="49">
        <v>0</v>
      </c>
      <c r="N147" s="49">
        <v>23050</v>
      </c>
      <c r="O147" s="49">
        <v>0</v>
      </c>
      <c r="P147" s="49">
        <v>3845</v>
      </c>
      <c r="Q147" s="49">
        <v>0</v>
      </c>
      <c r="R147" s="49">
        <v>19205</v>
      </c>
      <c r="S147" s="49">
        <v>1.72</v>
      </c>
      <c r="T147" s="49">
        <v>33032.6</v>
      </c>
      <c r="X147" s="49" t="s">
        <v>401</v>
      </c>
      <c r="Y147" s="49" t="s">
        <v>402</v>
      </c>
      <c r="Z147" s="49" t="s">
        <v>403</v>
      </c>
      <c r="AA147" s="49" t="s">
        <v>643</v>
      </c>
      <c r="AB147" s="101" t="s">
        <v>673</v>
      </c>
    </row>
    <row r="148" spans="2:28" s="49" customFormat="1" x14ac:dyDescent="0.15">
      <c r="B148" s="136" t="s">
        <v>957</v>
      </c>
      <c r="C148" s="113">
        <v>43124.519444444442</v>
      </c>
      <c r="D148" s="49" t="s">
        <v>345</v>
      </c>
      <c r="E148" s="49">
        <v>180124004</v>
      </c>
      <c r="F148" s="49">
        <v>24.2</v>
      </c>
      <c r="G148" s="49">
        <v>1</v>
      </c>
      <c r="H148" s="49">
        <v>8</v>
      </c>
      <c r="I148" s="49">
        <v>0</v>
      </c>
      <c r="J148" s="49">
        <v>3</v>
      </c>
      <c r="K148" s="49">
        <v>91830</v>
      </c>
      <c r="L148" s="49">
        <v>23100</v>
      </c>
      <c r="M148" s="49">
        <v>0</v>
      </c>
      <c r="N148" s="49">
        <v>68730</v>
      </c>
      <c r="O148" s="49">
        <v>0</v>
      </c>
      <c r="P148" s="49">
        <v>8413</v>
      </c>
      <c r="Q148" s="49">
        <v>0</v>
      </c>
      <c r="R148" s="49">
        <v>60317</v>
      </c>
      <c r="S148" s="49">
        <v>1.72</v>
      </c>
      <c r="T148" s="49">
        <v>103745.24</v>
      </c>
      <c r="X148" s="49" t="s">
        <v>149</v>
      </c>
      <c r="Y148" s="49" t="s">
        <v>150</v>
      </c>
      <c r="Z148" s="49" t="s">
        <v>151</v>
      </c>
      <c r="AA148" s="49" t="s">
        <v>640</v>
      </c>
      <c r="AB148" s="101" t="s">
        <v>406</v>
      </c>
    </row>
    <row r="149" spans="2:28" s="49" customFormat="1" x14ac:dyDescent="0.15">
      <c r="B149" s="136" t="s">
        <v>957</v>
      </c>
      <c r="C149" s="113">
        <v>43124.550694444442</v>
      </c>
      <c r="D149" s="49" t="s">
        <v>154</v>
      </c>
      <c r="E149" s="49">
        <v>180124008</v>
      </c>
      <c r="F149" s="49">
        <v>27.5</v>
      </c>
      <c r="G149" s="49">
        <v>1</v>
      </c>
      <c r="H149" s="49">
        <v>10</v>
      </c>
      <c r="I149" s="49">
        <v>0</v>
      </c>
      <c r="J149" s="49">
        <v>6</v>
      </c>
      <c r="K149" s="49">
        <v>33960</v>
      </c>
      <c r="L149" s="49">
        <v>10290</v>
      </c>
      <c r="M149" s="49">
        <v>0</v>
      </c>
      <c r="N149" s="49">
        <v>23670</v>
      </c>
      <c r="O149" s="49">
        <v>0</v>
      </c>
      <c r="P149" s="49">
        <v>3835</v>
      </c>
      <c r="Q149" s="49">
        <v>0</v>
      </c>
      <c r="R149" s="49">
        <v>19835</v>
      </c>
      <c r="S149" s="49">
        <v>1.72</v>
      </c>
      <c r="T149" s="49">
        <v>34116.199999999997</v>
      </c>
      <c r="X149" s="49" t="s">
        <v>401</v>
      </c>
      <c r="Y149" s="49" t="s">
        <v>402</v>
      </c>
      <c r="Z149" s="49" t="s">
        <v>403</v>
      </c>
      <c r="AA149" s="49" t="s">
        <v>643</v>
      </c>
      <c r="AB149" s="101" t="s">
        <v>673</v>
      </c>
    </row>
    <row r="150" spans="2:28" s="49" customFormat="1" x14ac:dyDescent="0.15">
      <c r="B150" s="136" t="s">
        <v>957</v>
      </c>
      <c r="C150" s="113">
        <v>43124.602083333331</v>
      </c>
      <c r="D150" s="49" t="s">
        <v>397</v>
      </c>
      <c r="E150" s="49">
        <v>180124012</v>
      </c>
      <c r="F150" s="49">
        <v>24.2</v>
      </c>
      <c r="G150" s="49">
        <v>1</v>
      </c>
      <c r="H150" s="49">
        <v>9</v>
      </c>
      <c r="I150" s="49">
        <v>0</v>
      </c>
      <c r="J150" s="49">
        <v>5</v>
      </c>
      <c r="K150" s="49">
        <v>26680</v>
      </c>
      <c r="L150" s="49">
        <v>7650</v>
      </c>
      <c r="M150" s="49">
        <v>0</v>
      </c>
      <c r="N150" s="49">
        <v>19030</v>
      </c>
      <c r="O150" s="49">
        <v>0</v>
      </c>
      <c r="P150" s="49">
        <v>2329</v>
      </c>
      <c r="Q150" s="49">
        <v>0</v>
      </c>
      <c r="R150" s="49">
        <v>16701</v>
      </c>
      <c r="S150" s="49">
        <v>1.72</v>
      </c>
      <c r="T150" s="49">
        <v>28725.72</v>
      </c>
      <c r="X150" s="49" t="s">
        <v>367</v>
      </c>
      <c r="Y150" s="49" t="s">
        <v>368</v>
      </c>
      <c r="Z150" s="49" t="s">
        <v>369</v>
      </c>
      <c r="AA150" s="49" t="s">
        <v>665</v>
      </c>
      <c r="AB150" s="101" t="s">
        <v>666</v>
      </c>
    </row>
    <row r="151" spans="2:28" s="49" customFormat="1" x14ac:dyDescent="0.15">
      <c r="B151" s="136" t="s">
        <v>957</v>
      </c>
      <c r="C151" s="113">
        <v>43124.643750000003</v>
      </c>
      <c r="D151" s="49" t="s">
        <v>411</v>
      </c>
      <c r="E151" s="49">
        <v>180124011</v>
      </c>
      <c r="F151" s="49">
        <v>25.2</v>
      </c>
      <c r="G151" s="49">
        <v>1.2</v>
      </c>
      <c r="H151" s="49">
        <v>8</v>
      </c>
      <c r="I151" s="49">
        <v>0</v>
      </c>
      <c r="J151" s="49">
        <v>3</v>
      </c>
      <c r="K151" s="49">
        <v>85730</v>
      </c>
      <c r="L151" s="49">
        <v>21470</v>
      </c>
      <c r="M151" s="49">
        <v>129</v>
      </c>
      <c r="N151" s="49">
        <v>64260</v>
      </c>
      <c r="O151" s="49">
        <v>0</v>
      </c>
      <c r="P151" s="49">
        <v>8637</v>
      </c>
      <c r="Q151" s="49">
        <v>0</v>
      </c>
      <c r="R151" s="49">
        <v>55494</v>
      </c>
      <c r="S151" s="49">
        <v>1.72</v>
      </c>
      <c r="T151" s="49">
        <v>95449.68</v>
      </c>
      <c r="X151" s="49" t="s">
        <v>407</v>
      </c>
      <c r="Y151" s="49" t="s">
        <v>408</v>
      </c>
      <c r="Z151" s="49" t="s">
        <v>409</v>
      </c>
      <c r="AA151" s="49" t="s">
        <v>640</v>
      </c>
      <c r="AB151" s="101" t="s">
        <v>674</v>
      </c>
    </row>
    <row r="152" spans="2:28" s="49" customFormat="1" x14ac:dyDescent="0.15">
      <c r="B152" s="136" t="s">
        <v>957</v>
      </c>
      <c r="C152" s="113">
        <v>43124.692361111112</v>
      </c>
      <c r="D152" s="49" t="s">
        <v>410</v>
      </c>
      <c r="E152" s="49">
        <v>180124010</v>
      </c>
      <c r="F152" s="49">
        <v>25.3</v>
      </c>
      <c r="G152" s="49">
        <v>1.2</v>
      </c>
      <c r="H152" s="49">
        <v>8</v>
      </c>
      <c r="I152" s="49">
        <v>0</v>
      </c>
      <c r="J152" s="49">
        <v>3</v>
      </c>
      <c r="K152" s="49">
        <v>92800</v>
      </c>
      <c r="L152" s="49">
        <v>21360</v>
      </c>
      <c r="M152" s="49">
        <v>143</v>
      </c>
      <c r="N152" s="49">
        <v>71440</v>
      </c>
      <c r="O152" s="49">
        <v>0</v>
      </c>
      <c r="P152" s="49">
        <v>9687</v>
      </c>
      <c r="Q152" s="49">
        <v>0</v>
      </c>
      <c r="R152" s="49">
        <v>61610</v>
      </c>
      <c r="S152" s="49">
        <v>1.72</v>
      </c>
      <c r="T152" s="49">
        <v>105969.2</v>
      </c>
      <c r="X152" s="49" t="s">
        <v>407</v>
      </c>
      <c r="Y152" s="49" t="s">
        <v>408</v>
      </c>
      <c r="Z152" s="49" t="s">
        <v>409</v>
      </c>
      <c r="AA152" s="49" t="s">
        <v>640</v>
      </c>
      <c r="AB152" s="101" t="s">
        <v>412</v>
      </c>
    </row>
    <row r="153" spans="2:28" s="49" customFormat="1" x14ac:dyDescent="0.15">
      <c r="B153" s="136" t="s">
        <v>957</v>
      </c>
      <c r="C153" s="113">
        <v>43124.731944444444</v>
      </c>
      <c r="D153" s="49" t="s">
        <v>396</v>
      </c>
      <c r="E153" s="49">
        <v>180124013</v>
      </c>
      <c r="F153" s="49">
        <v>28.6</v>
      </c>
      <c r="G153" s="49">
        <v>1</v>
      </c>
      <c r="H153" s="49">
        <v>9</v>
      </c>
      <c r="I153" s="49">
        <v>0</v>
      </c>
      <c r="J153" s="49">
        <v>5</v>
      </c>
      <c r="K153" s="49">
        <v>60560</v>
      </c>
      <c r="L153" s="49">
        <v>14560</v>
      </c>
      <c r="M153" s="49">
        <v>0</v>
      </c>
      <c r="N153" s="49">
        <v>46000</v>
      </c>
      <c r="O153" s="49">
        <v>0</v>
      </c>
      <c r="P153" s="49">
        <v>8059</v>
      </c>
      <c r="Q153" s="49">
        <v>0</v>
      </c>
      <c r="R153" s="49">
        <v>37941</v>
      </c>
      <c r="S153" s="49">
        <v>1.72</v>
      </c>
      <c r="T153" s="49">
        <v>65258.52</v>
      </c>
      <c r="X153" s="49" t="s">
        <v>137</v>
      </c>
      <c r="Y153" s="49" t="s">
        <v>138</v>
      </c>
      <c r="Z153" s="49" t="s">
        <v>139</v>
      </c>
      <c r="AA153" s="49" t="s">
        <v>643</v>
      </c>
      <c r="AB153" s="101" t="s">
        <v>609</v>
      </c>
    </row>
    <row r="154" spans="2:28" s="49" customFormat="1" x14ac:dyDescent="0.15">
      <c r="B154" s="136" t="s">
        <v>957</v>
      </c>
      <c r="C154" s="113"/>
      <c r="AB154" s="101"/>
    </row>
    <row r="155" spans="2:28" s="49" customFormat="1" x14ac:dyDescent="0.15">
      <c r="B155" s="136" t="s">
        <v>957</v>
      </c>
      <c r="C155" s="113">
        <v>43125.449305555558</v>
      </c>
      <c r="D155" s="49" t="s">
        <v>216</v>
      </c>
      <c r="E155" s="49">
        <v>180125003</v>
      </c>
      <c r="F155" s="49">
        <v>24.7</v>
      </c>
      <c r="G155" s="49">
        <v>1</v>
      </c>
      <c r="H155" s="49">
        <v>9</v>
      </c>
      <c r="I155" s="49">
        <v>0</v>
      </c>
      <c r="J155" s="49">
        <v>3</v>
      </c>
      <c r="K155" s="49">
        <v>84200</v>
      </c>
      <c r="L155" s="49">
        <v>21280</v>
      </c>
      <c r="M155" s="49">
        <v>0</v>
      </c>
      <c r="N155" s="49">
        <v>62920</v>
      </c>
      <c r="O155" s="49">
        <v>0</v>
      </c>
      <c r="P155" s="49">
        <v>8079</v>
      </c>
      <c r="Q155" s="49">
        <v>0</v>
      </c>
      <c r="R155" s="49">
        <v>54841</v>
      </c>
      <c r="S155" s="49">
        <v>1.72</v>
      </c>
      <c r="T155" s="49">
        <v>94326.52</v>
      </c>
      <c r="X155" s="49" t="s">
        <v>223</v>
      </c>
      <c r="Y155" s="49" t="s">
        <v>199</v>
      </c>
      <c r="Z155" s="49" t="s">
        <v>256</v>
      </c>
      <c r="AA155" s="49" t="s">
        <v>640</v>
      </c>
      <c r="AB155" s="101" t="s">
        <v>619</v>
      </c>
    </row>
    <row r="156" spans="2:28" s="49" customFormat="1" x14ac:dyDescent="0.15">
      <c r="B156" s="136" t="s">
        <v>957</v>
      </c>
      <c r="C156" s="113">
        <v>43125.465277777781</v>
      </c>
      <c r="D156" s="49" t="s">
        <v>414</v>
      </c>
      <c r="E156" s="49">
        <v>180125002</v>
      </c>
      <c r="F156" s="49">
        <v>28.9</v>
      </c>
      <c r="G156" s="49">
        <v>1</v>
      </c>
      <c r="H156" s="49">
        <v>8</v>
      </c>
      <c r="I156" s="49">
        <v>0</v>
      </c>
      <c r="J156" s="49">
        <v>3</v>
      </c>
      <c r="K156" s="49">
        <v>87280</v>
      </c>
      <c r="L156" s="49">
        <v>19380</v>
      </c>
      <c r="M156" s="49">
        <v>0</v>
      </c>
      <c r="N156" s="49">
        <v>67900</v>
      </c>
      <c r="O156" s="49">
        <v>0</v>
      </c>
      <c r="P156" s="49">
        <v>12141</v>
      </c>
      <c r="Q156" s="49">
        <v>0</v>
      </c>
      <c r="R156" s="49">
        <v>55759</v>
      </c>
      <c r="S156" s="49">
        <v>1.72</v>
      </c>
      <c r="T156" s="49">
        <v>95905.48</v>
      </c>
      <c r="X156" s="49" t="s">
        <v>331</v>
      </c>
      <c r="Y156" s="49" t="s">
        <v>199</v>
      </c>
      <c r="Z156" s="49" t="s">
        <v>256</v>
      </c>
      <c r="AA156" s="49" t="s">
        <v>640</v>
      </c>
      <c r="AB156" s="101" t="s">
        <v>619</v>
      </c>
    </row>
    <row r="157" spans="2:28" s="49" customFormat="1" x14ac:dyDescent="0.15">
      <c r="B157" s="136" t="s">
        <v>957</v>
      </c>
      <c r="C157" s="113">
        <v>43125.475694444445</v>
      </c>
      <c r="D157" s="49" t="s">
        <v>413</v>
      </c>
      <c r="E157" s="49">
        <v>180125012</v>
      </c>
      <c r="F157" s="49">
        <v>28.9</v>
      </c>
      <c r="G157" s="49">
        <v>1</v>
      </c>
      <c r="H157" s="49">
        <v>10</v>
      </c>
      <c r="I157" s="49">
        <v>3</v>
      </c>
      <c r="J157" s="49">
        <v>6</v>
      </c>
      <c r="K157" s="49">
        <v>15610</v>
      </c>
      <c r="L157" s="49">
        <v>4270</v>
      </c>
      <c r="M157" s="49">
        <v>0</v>
      </c>
      <c r="N157" s="49">
        <v>11340</v>
      </c>
      <c r="O157" s="49">
        <v>0</v>
      </c>
      <c r="P157" s="49">
        <v>2028</v>
      </c>
      <c r="Q157" s="49">
        <v>0</v>
      </c>
      <c r="R157" s="49">
        <v>9312</v>
      </c>
      <c r="S157" s="49">
        <v>1.72</v>
      </c>
      <c r="T157" s="49">
        <v>16016.64</v>
      </c>
      <c r="X157" s="49" t="s">
        <v>374</v>
      </c>
      <c r="Y157" s="49" t="s">
        <v>375</v>
      </c>
      <c r="Z157" s="49" t="s">
        <v>376</v>
      </c>
      <c r="AA157" s="49" t="s">
        <v>643</v>
      </c>
      <c r="AB157" s="101" t="s">
        <v>664</v>
      </c>
    </row>
    <row r="158" spans="2:28" s="49" customFormat="1" x14ac:dyDescent="0.15">
      <c r="B158" s="136" t="s">
        <v>957</v>
      </c>
      <c r="C158" s="113">
        <v>43125.480555555558</v>
      </c>
      <c r="D158" s="49" t="s">
        <v>208</v>
      </c>
      <c r="E158" s="49">
        <v>180125001</v>
      </c>
      <c r="F158" s="49">
        <v>26.3</v>
      </c>
      <c r="G158" s="49">
        <v>1</v>
      </c>
      <c r="H158" s="49">
        <v>8</v>
      </c>
      <c r="I158" s="49">
        <v>0</v>
      </c>
      <c r="J158" s="49">
        <v>3</v>
      </c>
      <c r="K158" s="49">
        <v>36620</v>
      </c>
      <c r="L158" s="49">
        <v>13340</v>
      </c>
      <c r="M158" s="49">
        <v>0</v>
      </c>
      <c r="N158" s="49">
        <v>23280</v>
      </c>
      <c r="O158" s="49">
        <v>0</v>
      </c>
      <c r="P158" s="49">
        <v>3436</v>
      </c>
      <c r="Q158" s="49">
        <v>0</v>
      </c>
      <c r="R158" s="49">
        <v>19844</v>
      </c>
      <c r="S158" s="49">
        <v>1.72</v>
      </c>
      <c r="T158" s="49">
        <v>34131.68</v>
      </c>
      <c r="X158" s="49" t="s">
        <v>137</v>
      </c>
      <c r="Y158" s="49" t="s">
        <v>138</v>
      </c>
      <c r="Z158" s="49" t="s">
        <v>139</v>
      </c>
      <c r="AA158" s="49" t="s">
        <v>643</v>
      </c>
      <c r="AB158" s="101" t="s">
        <v>609</v>
      </c>
    </row>
    <row r="159" spans="2:28" s="49" customFormat="1" x14ac:dyDescent="0.15">
      <c r="B159" s="136" t="s">
        <v>957</v>
      </c>
      <c r="C159" s="113">
        <v>43125.513888888891</v>
      </c>
      <c r="D159" s="49" t="s">
        <v>343</v>
      </c>
      <c r="E159" s="49">
        <v>180125004</v>
      </c>
      <c r="F159" s="49">
        <v>28.3</v>
      </c>
      <c r="G159" s="49">
        <v>1</v>
      </c>
      <c r="H159" s="49">
        <v>8</v>
      </c>
      <c r="I159" s="49">
        <v>0</v>
      </c>
      <c r="J159" s="49">
        <v>3</v>
      </c>
      <c r="K159" s="49">
        <v>94740</v>
      </c>
      <c r="L159" s="49">
        <v>22860</v>
      </c>
      <c r="M159" s="49">
        <v>0</v>
      </c>
      <c r="N159" s="49">
        <v>71880</v>
      </c>
      <c r="O159" s="49">
        <v>0</v>
      </c>
      <c r="P159" s="49">
        <v>12335</v>
      </c>
      <c r="Q159" s="49">
        <v>0</v>
      </c>
      <c r="R159" s="49">
        <v>59545</v>
      </c>
      <c r="S159" s="49">
        <v>1.72</v>
      </c>
      <c r="T159" s="49">
        <v>102417.4</v>
      </c>
      <c r="X159" s="49" t="s">
        <v>149</v>
      </c>
      <c r="Y159" s="49" t="s">
        <v>150</v>
      </c>
      <c r="Z159" s="49" t="s">
        <v>151</v>
      </c>
      <c r="AA159" s="49" t="s">
        <v>640</v>
      </c>
      <c r="AB159" s="101" t="s">
        <v>606</v>
      </c>
    </row>
    <row r="160" spans="2:28" s="49" customFormat="1" x14ac:dyDescent="0.15">
      <c r="B160" s="136" t="s">
        <v>957</v>
      </c>
      <c r="C160" s="113">
        <v>43125.552777777775</v>
      </c>
      <c r="D160" s="49" t="s">
        <v>198</v>
      </c>
      <c r="E160" s="49">
        <v>180125005</v>
      </c>
      <c r="F160" s="49">
        <v>23.9</v>
      </c>
      <c r="G160" s="49">
        <v>1</v>
      </c>
      <c r="H160" s="49">
        <v>8</v>
      </c>
      <c r="I160" s="49">
        <v>0</v>
      </c>
      <c r="J160" s="49">
        <v>3</v>
      </c>
      <c r="K160" s="49">
        <v>84630</v>
      </c>
      <c r="L160" s="49">
        <v>18790</v>
      </c>
      <c r="M160" s="49">
        <v>0</v>
      </c>
      <c r="N160" s="49">
        <v>65840</v>
      </c>
      <c r="O160" s="49">
        <v>0</v>
      </c>
      <c r="P160" s="49">
        <v>7822</v>
      </c>
      <c r="Q160" s="49">
        <v>0</v>
      </c>
      <c r="R160" s="49">
        <v>58018</v>
      </c>
      <c r="S160" s="49">
        <v>1.72</v>
      </c>
      <c r="T160" s="49">
        <v>99790.959999999992</v>
      </c>
      <c r="X160" s="49" t="s">
        <v>223</v>
      </c>
      <c r="Y160" s="49" t="s">
        <v>199</v>
      </c>
      <c r="Z160" s="49" t="s">
        <v>256</v>
      </c>
      <c r="AA160" s="49" t="s">
        <v>640</v>
      </c>
      <c r="AB160" s="101" t="s">
        <v>619</v>
      </c>
    </row>
    <row r="161" spans="2:28" s="49" customFormat="1" x14ac:dyDescent="0.15">
      <c r="B161" s="136" t="s">
        <v>957</v>
      </c>
      <c r="C161" s="113">
        <v>43125.556944444441</v>
      </c>
      <c r="D161" s="49" t="s">
        <v>123</v>
      </c>
      <c r="E161" s="49">
        <v>180125015</v>
      </c>
      <c r="F161" s="49">
        <v>20.2</v>
      </c>
      <c r="G161" s="49">
        <v>1</v>
      </c>
      <c r="H161" s="49">
        <v>8</v>
      </c>
      <c r="I161" s="49">
        <v>0</v>
      </c>
      <c r="J161" s="49">
        <v>3</v>
      </c>
      <c r="K161" s="49">
        <v>17100</v>
      </c>
      <c r="L161" s="49">
        <v>8120</v>
      </c>
      <c r="M161" s="49">
        <v>0</v>
      </c>
      <c r="N161" s="49">
        <v>8980</v>
      </c>
      <c r="O161" s="49">
        <v>0</v>
      </c>
      <c r="P161" s="49">
        <v>668</v>
      </c>
      <c r="Q161" s="49">
        <v>0</v>
      </c>
      <c r="R161" s="49">
        <v>8312</v>
      </c>
      <c r="S161" s="49">
        <v>1.72</v>
      </c>
      <c r="T161" s="49">
        <v>14296.64</v>
      </c>
      <c r="X161" s="49" t="s">
        <v>124</v>
      </c>
      <c r="Y161" s="49" t="s">
        <v>125</v>
      </c>
      <c r="Z161" s="49" t="s">
        <v>122</v>
      </c>
      <c r="AA161" s="49" t="s">
        <v>643</v>
      </c>
      <c r="AB161" s="101" t="s">
        <v>675</v>
      </c>
    </row>
    <row r="162" spans="2:28" s="49" customFormat="1" x14ac:dyDescent="0.15">
      <c r="B162" s="136" t="s">
        <v>957</v>
      </c>
      <c r="C162" s="113">
        <v>43125.581944444442</v>
      </c>
      <c r="D162" s="49" t="s">
        <v>337</v>
      </c>
      <c r="E162" s="49">
        <v>180125016</v>
      </c>
      <c r="F162" s="49">
        <v>30.7</v>
      </c>
      <c r="G162" s="49">
        <v>1</v>
      </c>
      <c r="H162" s="49">
        <v>9</v>
      </c>
      <c r="I162" s="49">
        <v>2</v>
      </c>
      <c r="J162" s="49">
        <v>4</v>
      </c>
      <c r="K162" s="49">
        <v>32630</v>
      </c>
      <c r="L162" s="49">
        <v>7300</v>
      </c>
      <c r="M162" s="49">
        <v>0</v>
      </c>
      <c r="N162" s="49">
        <v>25330</v>
      </c>
      <c r="O162" s="49">
        <v>0</v>
      </c>
      <c r="P162" s="49">
        <v>5076</v>
      </c>
      <c r="Q162" s="49">
        <v>0</v>
      </c>
      <c r="R162" s="49">
        <v>20254</v>
      </c>
      <c r="S162" s="49">
        <v>1.72</v>
      </c>
      <c r="T162" s="49">
        <v>34836.879999999997</v>
      </c>
      <c r="X162" s="49" t="s">
        <v>415</v>
      </c>
      <c r="Y162" s="49" t="s">
        <v>416</v>
      </c>
      <c r="Z162" s="49" t="s">
        <v>417</v>
      </c>
      <c r="AA162" s="49" t="s">
        <v>643</v>
      </c>
      <c r="AB162" s="101" t="s">
        <v>676</v>
      </c>
    </row>
    <row r="163" spans="2:28" s="49" customFormat="1" x14ac:dyDescent="0.15">
      <c r="B163" s="136" t="s">
        <v>957</v>
      </c>
      <c r="C163" s="113">
        <v>43125.592361111114</v>
      </c>
      <c r="D163" s="49" t="s">
        <v>345</v>
      </c>
      <c r="E163" s="49">
        <v>180125011</v>
      </c>
      <c r="F163" s="49">
        <v>28.5</v>
      </c>
      <c r="G163" s="49">
        <v>1.6</v>
      </c>
      <c r="H163" s="49">
        <v>8</v>
      </c>
      <c r="I163" s="49">
        <v>0</v>
      </c>
      <c r="J163" s="49">
        <v>3</v>
      </c>
      <c r="K163" s="49">
        <v>92000</v>
      </c>
      <c r="L163" s="49">
        <v>23120</v>
      </c>
      <c r="M163" s="49">
        <v>413</v>
      </c>
      <c r="N163" s="49">
        <v>68880</v>
      </c>
      <c r="O163" s="49">
        <v>0</v>
      </c>
      <c r="P163" s="49">
        <v>11985</v>
      </c>
      <c r="Q163" s="49">
        <v>0</v>
      </c>
      <c r="R163" s="49">
        <v>56482</v>
      </c>
      <c r="S163" s="49">
        <v>1.72</v>
      </c>
      <c r="T163" s="49">
        <v>97149.04</v>
      </c>
      <c r="X163" s="49" t="s">
        <v>149</v>
      </c>
      <c r="Y163" s="49" t="s">
        <v>150</v>
      </c>
      <c r="Z163" s="49" t="s">
        <v>151</v>
      </c>
      <c r="AA163" s="49" t="s">
        <v>640</v>
      </c>
      <c r="AB163" s="101" t="s">
        <v>606</v>
      </c>
    </row>
    <row r="164" spans="2:28" s="49" customFormat="1" x14ac:dyDescent="0.15">
      <c r="B164" s="136" t="s">
        <v>957</v>
      </c>
      <c r="C164" s="113">
        <v>43125.62777777778</v>
      </c>
      <c r="D164" s="49" t="s">
        <v>421</v>
      </c>
      <c r="E164" s="49">
        <v>180125017</v>
      </c>
      <c r="F164" s="49">
        <v>31</v>
      </c>
      <c r="G164" s="49">
        <v>1</v>
      </c>
      <c r="H164" s="49">
        <v>9</v>
      </c>
      <c r="I164" s="49">
        <v>0</v>
      </c>
      <c r="J164" s="49">
        <v>4</v>
      </c>
      <c r="K164" s="49">
        <v>29830</v>
      </c>
      <c r="L164" s="49">
        <v>10690</v>
      </c>
      <c r="M164" s="49">
        <v>0</v>
      </c>
      <c r="N164" s="49">
        <v>19140</v>
      </c>
      <c r="O164" s="49">
        <v>0</v>
      </c>
      <c r="P164" s="49">
        <v>3905</v>
      </c>
      <c r="Q164" s="49">
        <v>0</v>
      </c>
      <c r="R164" s="49">
        <v>15235</v>
      </c>
      <c r="S164" s="49">
        <v>1.72</v>
      </c>
      <c r="T164" s="49">
        <v>26204.2</v>
      </c>
      <c r="X164" s="49" t="s">
        <v>418</v>
      </c>
      <c r="Y164" s="49" t="s">
        <v>419</v>
      </c>
      <c r="Z164" s="49" t="s">
        <v>420</v>
      </c>
      <c r="AA164" s="49" t="s">
        <v>643</v>
      </c>
      <c r="AB164" s="101" t="s">
        <v>677</v>
      </c>
    </row>
    <row r="165" spans="2:28" s="49" customFormat="1" x14ac:dyDescent="0.15">
      <c r="B165" s="136" t="s">
        <v>957</v>
      </c>
      <c r="C165" s="113">
        <v>43125.636111111111</v>
      </c>
      <c r="D165" s="49" t="s">
        <v>422</v>
      </c>
      <c r="E165" s="49">
        <v>180125014</v>
      </c>
      <c r="F165" s="49">
        <v>30.5</v>
      </c>
      <c r="G165" s="49">
        <v>1.2</v>
      </c>
      <c r="H165" s="49">
        <v>8</v>
      </c>
      <c r="I165" s="49">
        <v>0</v>
      </c>
      <c r="J165" s="49">
        <v>3</v>
      </c>
      <c r="K165" s="49">
        <v>87220</v>
      </c>
      <c r="L165" s="49">
        <v>17500</v>
      </c>
      <c r="M165" s="49">
        <v>139</v>
      </c>
      <c r="N165" s="49">
        <v>69720</v>
      </c>
      <c r="O165" s="49">
        <v>0</v>
      </c>
      <c r="P165" s="49">
        <v>13805</v>
      </c>
      <c r="Q165" s="49">
        <v>0</v>
      </c>
      <c r="R165" s="49">
        <v>55776</v>
      </c>
      <c r="S165" s="49">
        <v>1.72</v>
      </c>
      <c r="T165" s="49">
        <v>95934.720000000001</v>
      </c>
      <c r="X165" s="49" t="s">
        <v>149</v>
      </c>
      <c r="Y165" s="49" t="s">
        <v>150</v>
      </c>
      <c r="Z165" s="49" t="s">
        <v>409</v>
      </c>
      <c r="AA165" s="49" t="s">
        <v>640</v>
      </c>
      <c r="AB165" s="101" t="s">
        <v>606</v>
      </c>
    </row>
    <row r="166" spans="2:28" s="49" customFormat="1" x14ac:dyDescent="0.15">
      <c r="B166" s="136" t="s">
        <v>957</v>
      </c>
      <c r="C166" s="113">
        <v>43125.679166666669</v>
      </c>
      <c r="D166" s="49" t="s">
        <v>423</v>
      </c>
      <c r="E166" s="49">
        <v>180125018</v>
      </c>
      <c r="F166" s="49">
        <v>28.5</v>
      </c>
      <c r="G166" s="49">
        <v>1</v>
      </c>
      <c r="H166" s="49">
        <v>8</v>
      </c>
      <c r="I166" s="49">
        <v>0</v>
      </c>
      <c r="J166" s="49">
        <v>3</v>
      </c>
      <c r="K166" s="49">
        <v>59660</v>
      </c>
      <c r="L166" s="49">
        <v>16730</v>
      </c>
      <c r="M166" s="49">
        <v>0</v>
      </c>
      <c r="N166" s="49">
        <v>42930</v>
      </c>
      <c r="O166" s="49">
        <v>0</v>
      </c>
      <c r="P166" s="49">
        <v>7470</v>
      </c>
      <c r="Q166" s="49">
        <v>0</v>
      </c>
      <c r="R166" s="49">
        <v>35460</v>
      </c>
      <c r="S166" s="49">
        <v>1.72</v>
      </c>
      <c r="T166" s="49">
        <v>60991.199999999997</v>
      </c>
      <c r="X166" s="49" t="s">
        <v>386</v>
      </c>
      <c r="Y166" s="49" t="s">
        <v>387</v>
      </c>
      <c r="Z166" s="49" t="s">
        <v>388</v>
      </c>
      <c r="AA166" s="49" t="s">
        <v>668</v>
      </c>
      <c r="AB166" s="101" t="s">
        <v>669</v>
      </c>
    </row>
    <row r="167" spans="2:28" s="49" customFormat="1" x14ac:dyDescent="0.15">
      <c r="B167" s="136" t="s">
        <v>957</v>
      </c>
      <c r="C167" s="113">
        <v>43125.703472222223</v>
      </c>
      <c r="D167" s="49" t="s">
        <v>427</v>
      </c>
      <c r="E167" s="49">
        <v>180125006</v>
      </c>
      <c r="F167" s="49">
        <v>30</v>
      </c>
      <c r="G167" s="49">
        <v>1</v>
      </c>
      <c r="H167" s="49">
        <v>7</v>
      </c>
      <c r="I167" s="49">
        <v>0</v>
      </c>
      <c r="J167" s="49">
        <v>2</v>
      </c>
      <c r="K167" s="49">
        <v>95240</v>
      </c>
      <c r="L167" s="49">
        <v>18330</v>
      </c>
      <c r="M167" s="49">
        <v>0</v>
      </c>
      <c r="N167" s="49">
        <v>76910</v>
      </c>
      <c r="O167" s="49">
        <v>0</v>
      </c>
      <c r="P167" s="49">
        <v>14767</v>
      </c>
      <c r="Q167" s="49">
        <v>0</v>
      </c>
      <c r="R167" s="49">
        <v>62143</v>
      </c>
      <c r="S167" s="49">
        <v>1.72</v>
      </c>
      <c r="T167" s="49">
        <v>106885.95999999999</v>
      </c>
      <c r="X167" s="49" t="s">
        <v>424</v>
      </c>
      <c r="Y167" s="49" t="s">
        <v>425</v>
      </c>
      <c r="Z167" s="49" t="s">
        <v>426</v>
      </c>
      <c r="AA167" s="49" t="s">
        <v>670</v>
      </c>
      <c r="AB167" s="101" t="s">
        <v>678</v>
      </c>
    </row>
    <row r="168" spans="2:28" s="49" customFormat="1" x14ac:dyDescent="0.15">
      <c r="B168" s="136" t="s">
        <v>957</v>
      </c>
      <c r="C168" s="113">
        <v>43125.709027777775</v>
      </c>
      <c r="D168" s="49" t="s">
        <v>337</v>
      </c>
      <c r="E168" s="49">
        <v>180125022</v>
      </c>
      <c r="F168" s="49">
        <v>29.9</v>
      </c>
      <c r="G168" s="49">
        <v>1</v>
      </c>
      <c r="H168" s="49">
        <v>10</v>
      </c>
      <c r="I168" s="49">
        <v>2</v>
      </c>
      <c r="J168" s="49">
        <v>5</v>
      </c>
      <c r="K168" s="49">
        <v>19970</v>
      </c>
      <c r="L168" s="49">
        <v>7400</v>
      </c>
      <c r="M168" s="49">
        <v>0</v>
      </c>
      <c r="N168" s="49">
        <v>12570</v>
      </c>
      <c r="O168" s="49">
        <v>0</v>
      </c>
      <c r="P168" s="49">
        <v>2398</v>
      </c>
      <c r="Q168" s="49">
        <v>0</v>
      </c>
      <c r="R168" s="49">
        <v>10172</v>
      </c>
      <c r="S168" s="49">
        <v>1.72</v>
      </c>
      <c r="T168" s="49">
        <v>17495.84</v>
      </c>
      <c r="X168" s="49" t="s">
        <v>415</v>
      </c>
      <c r="Y168" s="49" t="s">
        <v>416</v>
      </c>
      <c r="Z168" s="49" t="s">
        <v>417</v>
      </c>
      <c r="AA168" s="49" t="s">
        <v>643</v>
      </c>
      <c r="AB168" s="101" t="s">
        <v>676</v>
      </c>
    </row>
    <row r="169" spans="2:28" s="49" customFormat="1" x14ac:dyDescent="0.15">
      <c r="B169" s="136" t="s">
        <v>957</v>
      </c>
      <c r="C169" s="113">
        <v>43125.759027777778</v>
      </c>
      <c r="D169" s="49" t="s">
        <v>428</v>
      </c>
      <c r="E169" s="49">
        <v>180125008</v>
      </c>
      <c r="F169" s="49">
        <v>31.1</v>
      </c>
      <c r="G169" s="49">
        <v>1</v>
      </c>
      <c r="H169" s="49">
        <v>7</v>
      </c>
      <c r="I169" s="49">
        <v>0</v>
      </c>
      <c r="J169" s="49">
        <v>2</v>
      </c>
      <c r="K169" s="49">
        <v>92340</v>
      </c>
      <c r="L169" s="49">
        <v>19610</v>
      </c>
      <c r="M169" s="49">
        <v>0</v>
      </c>
      <c r="N169" s="49">
        <v>72730</v>
      </c>
      <c r="O169" s="49">
        <v>0</v>
      </c>
      <c r="P169" s="49">
        <v>14924</v>
      </c>
      <c r="Q169" s="49">
        <v>0</v>
      </c>
      <c r="R169" s="49">
        <v>57806</v>
      </c>
      <c r="S169" s="49">
        <v>1.72</v>
      </c>
      <c r="T169" s="49">
        <v>99426.319999999992</v>
      </c>
      <c r="X169" s="49" t="s">
        <v>424</v>
      </c>
      <c r="Y169" s="49" t="s">
        <v>425</v>
      </c>
      <c r="Z169" s="49" t="s">
        <v>426</v>
      </c>
      <c r="AA169" s="49" t="s">
        <v>670</v>
      </c>
      <c r="AB169" s="101" t="s">
        <v>678</v>
      </c>
    </row>
    <row r="170" spans="2:28" s="49" customFormat="1" x14ac:dyDescent="0.15">
      <c r="B170" s="136" t="s">
        <v>957</v>
      </c>
      <c r="C170" s="113">
        <v>43125.768750000003</v>
      </c>
      <c r="D170" s="49" t="s">
        <v>429</v>
      </c>
      <c r="E170" s="49">
        <v>180125009</v>
      </c>
      <c r="F170" s="49">
        <v>31</v>
      </c>
      <c r="G170" s="49">
        <v>1</v>
      </c>
      <c r="H170" s="49">
        <v>7</v>
      </c>
      <c r="I170" s="49">
        <v>0</v>
      </c>
      <c r="J170" s="49">
        <v>3</v>
      </c>
      <c r="K170" s="49">
        <v>87210</v>
      </c>
      <c r="L170" s="49">
        <v>19670</v>
      </c>
      <c r="M170" s="49">
        <v>0</v>
      </c>
      <c r="N170" s="49">
        <v>67540</v>
      </c>
      <c r="O170" s="49">
        <v>0</v>
      </c>
      <c r="P170" s="49">
        <v>13778</v>
      </c>
      <c r="Q170" s="49">
        <v>0</v>
      </c>
      <c r="R170" s="49">
        <v>53762</v>
      </c>
      <c r="S170" s="49">
        <v>1.72</v>
      </c>
      <c r="T170" s="49">
        <v>92470.64</v>
      </c>
      <c r="X170" s="49" t="s">
        <v>424</v>
      </c>
      <c r="Y170" s="49" t="s">
        <v>425</v>
      </c>
      <c r="Z170" s="49" t="s">
        <v>426</v>
      </c>
      <c r="AA170" s="49" t="s">
        <v>670</v>
      </c>
      <c r="AB170" s="101" t="s">
        <v>678</v>
      </c>
    </row>
    <row r="171" spans="2:28" s="49" customFormat="1" x14ac:dyDescent="0.15">
      <c r="B171" s="136" t="s">
        <v>957</v>
      </c>
      <c r="C171" s="113" t="s">
        <v>679</v>
      </c>
      <c r="AB171" s="101"/>
    </row>
    <row r="172" spans="2:28" s="49" customFormat="1" ht="12.75" customHeight="1" x14ac:dyDescent="0.15">
      <c r="B172" s="136" t="s">
        <v>957</v>
      </c>
      <c r="C172" s="113">
        <v>43125.852083333331</v>
      </c>
      <c r="D172" s="49" t="s">
        <v>430</v>
      </c>
      <c r="E172" s="49">
        <v>180125007</v>
      </c>
      <c r="F172" s="49">
        <v>30.1</v>
      </c>
      <c r="G172" s="49">
        <v>1</v>
      </c>
      <c r="H172" s="49">
        <v>7</v>
      </c>
      <c r="I172" s="49">
        <v>0</v>
      </c>
      <c r="J172" s="49">
        <v>2</v>
      </c>
      <c r="K172" s="49">
        <v>91230</v>
      </c>
      <c r="L172" s="49">
        <v>19640</v>
      </c>
      <c r="M172" s="49">
        <v>0</v>
      </c>
      <c r="N172" s="49">
        <v>71590</v>
      </c>
      <c r="O172" s="49">
        <v>0</v>
      </c>
      <c r="P172" s="49">
        <v>13831</v>
      </c>
      <c r="Q172" s="49">
        <v>0</v>
      </c>
      <c r="R172" s="49">
        <v>57759</v>
      </c>
      <c r="S172" s="49">
        <v>1.72</v>
      </c>
      <c r="T172" s="49">
        <v>99345.48</v>
      </c>
      <c r="X172" s="49" t="s">
        <v>424</v>
      </c>
      <c r="Y172" s="49" t="s">
        <v>425</v>
      </c>
      <c r="Z172" s="49" t="s">
        <v>426</v>
      </c>
      <c r="AA172" s="49" t="s">
        <v>670</v>
      </c>
      <c r="AB172" s="101" t="s">
        <v>678</v>
      </c>
    </row>
    <row r="173" spans="2:28" s="49" customFormat="1" ht="11.25" customHeight="1" x14ac:dyDescent="0.15">
      <c r="B173" s="136" t="s">
        <v>957</v>
      </c>
      <c r="C173" s="113">
        <v>43126.377083333333</v>
      </c>
      <c r="D173" s="49" t="s">
        <v>431</v>
      </c>
      <c r="E173" s="49">
        <v>180125019</v>
      </c>
      <c r="F173" s="49">
        <v>29</v>
      </c>
      <c r="G173" s="49">
        <v>1</v>
      </c>
      <c r="H173" s="49">
        <v>9</v>
      </c>
      <c r="I173" s="49">
        <v>2</v>
      </c>
      <c r="J173" s="49">
        <v>4</v>
      </c>
      <c r="K173" s="49">
        <v>67660</v>
      </c>
      <c r="L173" s="49">
        <v>15470</v>
      </c>
      <c r="M173" s="49">
        <v>0</v>
      </c>
      <c r="N173" s="49">
        <v>52190</v>
      </c>
      <c r="O173" s="49">
        <v>0</v>
      </c>
      <c r="P173" s="49">
        <v>9394</v>
      </c>
      <c r="Q173" s="49">
        <v>0</v>
      </c>
      <c r="R173" s="49">
        <v>42796</v>
      </c>
      <c r="S173" s="49">
        <v>1.72</v>
      </c>
      <c r="T173" s="49">
        <v>73609.119999999995</v>
      </c>
      <c r="X173" s="49" t="s">
        <v>432</v>
      </c>
      <c r="Y173" s="49" t="s">
        <v>199</v>
      </c>
      <c r="Z173" s="49" t="s">
        <v>256</v>
      </c>
      <c r="AA173" s="49" t="s">
        <v>640</v>
      </c>
      <c r="AB173" s="101" t="s">
        <v>619</v>
      </c>
    </row>
    <row r="174" spans="2:28" s="49" customFormat="1" x14ac:dyDescent="0.15">
      <c r="B174" s="136" t="s">
        <v>957</v>
      </c>
      <c r="C174" s="113">
        <v>43126.426388888889</v>
      </c>
      <c r="D174" s="49" t="s">
        <v>184</v>
      </c>
      <c r="E174" s="49">
        <v>180126008</v>
      </c>
      <c r="F174" s="49">
        <v>29.2</v>
      </c>
      <c r="G174" s="49">
        <v>1</v>
      </c>
      <c r="H174" s="49">
        <v>8</v>
      </c>
      <c r="I174" s="49">
        <v>0</v>
      </c>
      <c r="J174" s="49">
        <v>3</v>
      </c>
      <c r="K174" s="49">
        <v>56860</v>
      </c>
      <c r="L174" s="49">
        <v>14120</v>
      </c>
      <c r="M174" s="49">
        <v>0</v>
      </c>
      <c r="N174" s="49">
        <v>42740</v>
      </c>
      <c r="O174" s="49">
        <v>0</v>
      </c>
      <c r="P174" s="49">
        <v>7796</v>
      </c>
      <c r="Q174" s="49">
        <v>0</v>
      </c>
      <c r="R174" s="49">
        <v>34944</v>
      </c>
      <c r="S174" s="49">
        <v>1.72</v>
      </c>
      <c r="T174" s="49">
        <v>60103.68</v>
      </c>
      <c r="X174" s="49" t="s">
        <v>185</v>
      </c>
      <c r="Y174" s="49" t="s">
        <v>186</v>
      </c>
      <c r="Z174" s="49" t="s">
        <v>187</v>
      </c>
      <c r="AA174" s="49" t="s">
        <v>405</v>
      </c>
      <c r="AB174" s="101" t="s">
        <v>615</v>
      </c>
    </row>
    <row r="175" spans="2:28" s="49" customFormat="1" x14ac:dyDescent="0.15">
      <c r="B175" s="136" t="s">
        <v>957</v>
      </c>
      <c r="C175" s="113">
        <v>43126.435416666667</v>
      </c>
      <c r="D175" s="49" t="s">
        <v>265</v>
      </c>
      <c r="E175" s="49">
        <v>180126003</v>
      </c>
      <c r="F175" s="49">
        <v>25.2</v>
      </c>
      <c r="G175" s="49">
        <v>1</v>
      </c>
      <c r="H175" s="49">
        <v>7</v>
      </c>
      <c r="I175" s="49">
        <v>0</v>
      </c>
      <c r="J175" s="49">
        <v>2</v>
      </c>
      <c r="K175" s="49">
        <v>69990</v>
      </c>
      <c r="L175" s="49">
        <v>17140</v>
      </c>
      <c r="M175" s="49">
        <v>0</v>
      </c>
      <c r="N175" s="49">
        <v>52850</v>
      </c>
      <c r="O175" s="49">
        <v>0</v>
      </c>
      <c r="P175" s="49">
        <v>7103</v>
      </c>
      <c r="Q175" s="49">
        <v>0</v>
      </c>
      <c r="R175" s="49">
        <v>45747</v>
      </c>
      <c r="S175" s="49">
        <v>1.72</v>
      </c>
      <c r="T175" s="49">
        <v>78684.84</v>
      </c>
      <c r="X175" s="49" t="s">
        <v>266</v>
      </c>
      <c r="Y175" s="49" t="s">
        <v>267</v>
      </c>
      <c r="Z175" s="49" t="s">
        <v>268</v>
      </c>
      <c r="AA175" s="49" t="s">
        <v>643</v>
      </c>
      <c r="AB175" s="101" t="s">
        <v>637</v>
      </c>
    </row>
    <row r="176" spans="2:28" s="49" customFormat="1" x14ac:dyDescent="0.15">
      <c r="B176" s="136" t="s">
        <v>957</v>
      </c>
      <c r="C176" s="113">
        <v>43126.462500000001</v>
      </c>
      <c r="D176" s="49" t="s">
        <v>433</v>
      </c>
      <c r="E176" s="49">
        <v>180126001</v>
      </c>
      <c r="F176" s="49">
        <v>27.5</v>
      </c>
      <c r="G176" s="49">
        <v>1</v>
      </c>
      <c r="H176" s="49">
        <v>8</v>
      </c>
      <c r="I176" s="49">
        <v>0</v>
      </c>
      <c r="J176" s="49">
        <v>3</v>
      </c>
      <c r="K176" s="49">
        <v>61470</v>
      </c>
      <c r="L176" s="49">
        <v>17010</v>
      </c>
      <c r="M176" s="49">
        <v>0</v>
      </c>
      <c r="N176" s="49">
        <v>44460</v>
      </c>
      <c r="O176" s="49">
        <v>0</v>
      </c>
      <c r="P176" s="49">
        <v>7203</v>
      </c>
      <c r="Q176" s="49">
        <v>0</v>
      </c>
      <c r="R176" s="49">
        <v>37257</v>
      </c>
      <c r="S176" s="49">
        <v>1.72</v>
      </c>
      <c r="T176" s="49">
        <v>64082.04</v>
      </c>
      <c r="X176" s="49" t="s">
        <v>434</v>
      </c>
      <c r="Y176" s="49" t="s">
        <v>435</v>
      </c>
      <c r="Z176" s="49" t="s">
        <v>436</v>
      </c>
      <c r="AA176" s="49" t="s">
        <v>405</v>
      </c>
      <c r="AB176" s="101" t="s">
        <v>680</v>
      </c>
    </row>
    <row r="177" spans="2:28" s="49" customFormat="1" x14ac:dyDescent="0.15">
      <c r="B177" s="136" t="s">
        <v>957</v>
      </c>
      <c r="C177" s="113">
        <v>43126.466666666667</v>
      </c>
      <c r="D177" s="49" t="s">
        <v>269</v>
      </c>
      <c r="E177" s="49">
        <v>180126004</v>
      </c>
      <c r="F177" s="49">
        <v>24.8</v>
      </c>
      <c r="G177" s="49">
        <v>1</v>
      </c>
      <c r="H177" s="49">
        <v>7.5</v>
      </c>
      <c r="I177" s="49">
        <v>0</v>
      </c>
      <c r="J177" s="49">
        <v>2.5</v>
      </c>
      <c r="K177" s="49">
        <v>64830</v>
      </c>
      <c r="L177" s="49">
        <v>16770</v>
      </c>
      <c r="M177" s="49">
        <v>0</v>
      </c>
      <c r="N177" s="49">
        <v>48060</v>
      </c>
      <c r="O177" s="49">
        <v>0</v>
      </c>
      <c r="P177" s="49">
        <v>6229</v>
      </c>
      <c r="Q177" s="49">
        <v>0</v>
      </c>
      <c r="R177" s="49">
        <v>41831</v>
      </c>
      <c r="S177" s="49">
        <v>1.72</v>
      </c>
      <c r="T177" s="49">
        <v>71949.319999999992</v>
      </c>
      <c r="X177" s="49" t="s">
        <v>266</v>
      </c>
      <c r="Y177" s="49" t="s">
        <v>267</v>
      </c>
      <c r="Z177" s="49" t="s">
        <v>268</v>
      </c>
      <c r="AA177" s="49" t="s">
        <v>643</v>
      </c>
      <c r="AB177" s="101" t="s">
        <v>637</v>
      </c>
    </row>
    <row r="178" spans="2:28" s="49" customFormat="1" x14ac:dyDescent="0.15">
      <c r="B178" s="136" t="s">
        <v>957</v>
      </c>
      <c r="C178" s="113">
        <v>43126.484722222223</v>
      </c>
      <c r="D178" s="49" t="s">
        <v>440</v>
      </c>
      <c r="E178" s="49">
        <v>180126009</v>
      </c>
      <c r="F178" s="49">
        <v>25.4</v>
      </c>
      <c r="G178" s="49">
        <v>1</v>
      </c>
      <c r="H178" s="49">
        <v>8</v>
      </c>
      <c r="I178" s="49">
        <v>0</v>
      </c>
      <c r="J178" s="49">
        <v>3</v>
      </c>
      <c r="K178" s="49">
        <v>84430</v>
      </c>
      <c r="L178" s="49">
        <v>16860</v>
      </c>
      <c r="M178" s="49">
        <v>0</v>
      </c>
      <c r="N178" s="49">
        <v>67570</v>
      </c>
      <c r="O178" s="49">
        <v>0</v>
      </c>
      <c r="P178" s="49">
        <v>9244</v>
      </c>
      <c r="Q178" s="49">
        <v>0</v>
      </c>
      <c r="R178" s="49">
        <v>58326</v>
      </c>
      <c r="S178" s="49">
        <v>1.72</v>
      </c>
      <c r="T178" s="49">
        <v>100320.72</v>
      </c>
      <c r="X178" s="49" t="s">
        <v>437</v>
      </c>
      <c r="Y178" s="49" t="s">
        <v>438</v>
      </c>
      <c r="Z178" s="49" t="s">
        <v>439</v>
      </c>
      <c r="AA178" s="49" t="s">
        <v>647</v>
      </c>
      <c r="AB178" s="101" t="s">
        <v>681</v>
      </c>
    </row>
    <row r="179" spans="2:28" s="49" customFormat="1" x14ac:dyDescent="0.15">
      <c r="B179" s="136" t="s">
        <v>957</v>
      </c>
      <c r="C179" s="113">
        <v>43126.568749999999</v>
      </c>
      <c r="D179" s="49" t="s">
        <v>455</v>
      </c>
      <c r="E179" s="49">
        <v>180126011</v>
      </c>
      <c r="F179" s="49">
        <v>23</v>
      </c>
      <c r="G179" s="49">
        <v>1</v>
      </c>
      <c r="H179" s="49">
        <v>9</v>
      </c>
      <c r="I179" s="49">
        <v>1</v>
      </c>
      <c r="J179" s="49">
        <v>4</v>
      </c>
      <c r="K179" s="49">
        <v>90160</v>
      </c>
      <c r="L179" s="49">
        <v>20790</v>
      </c>
      <c r="M179" s="49">
        <v>0</v>
      </c>
      <c r="N179" s="49">
        <v>69370</v>
      </c>
      <c r="O179" s="49">
        <v>0</v>
      </c>
      <c r="P179" s="49">
        <v>7492</v>
      </c>
      <c r="Q179" s="49">
        <v>0</v>
      </c>
      <c r="R179" s="49">
        <v>61878</v>
      </c>
      <c r="S179" s="49">
        <v>1.72</v>
      </c>
      <c r="T179" s="49">
        <v>106430.16</v>
      </c>
      <c r="X179" s="49" t="s">
        <v>437</v>
      </c>
      <c r="Y179" s="49" t="s">
        <v>438</v>
      </c>
      <c r="Z179" s="49" t="s">
        <v>439</v>
      </c>
      <c r="AA179" s="49" t="s">
        <v>647</v>
      </c>
      <c r="AB179" s="101" t="s">
        <v>681</v>
      </c>
    </row>
    <row r="180" spans="2:28" s="49" customFormat="1" x14ac:dyDescent="0.15">
      <c r="B180" s="136" t="s">
        <v>957</v>
      </c>
      <c r="C180" s="113">
        <v>43126.585416666669</v>
      </c>
      <c r="D180" s="49" t="s">
        <v>411</v>
      </c>
      <c r="E180" s="49">
        <v>180126010</v>
      </c>
      <c r="F180" s="49">
        <v>25.7</v>
      </c>
      <c r="G180" s="49">
        <v>1</v>
      </c>
      <c r="H180" s="49">
        <v>8</v>
      </c>
      <c r="I180" s="49">
        <v>1</v>
      </c>
      <c r="J180" s="49">
        <v>3</v>
      </c>
      <c r="K180" s="49">
        <v>91710</v>
      </c>
      <c r="L180" s="49">
        <v>21420</v>
      </c>
      <c r="M180" s="49">
        <v>0</v>
      </c>
      <c r="N180" s="49">
        <v>70290</v>
      </c>
      <c r="O180" s="49">
        <v>0</v>
      </c>
      <c r="P180" s="49">
        <v>9869</v>
      </c>
      <c r="Q180" s="49">
        <v>0</v>
      </c>
      <c r="R180" s="49">
        <v>60421</v>
      </c>
      <c r="S180" s="49">
        <v>1.72</v>
      </c>
      <c r="T180" s="49">
        <v>103924.12</v>
      </c>
      <c r="X180" s="49" t="s">
        <v>437</v>
      </c>
      <c r="Y180" s="49" t="s">
        <v>438</v>
      </c>
      <c r="Z180" s="49" t="s">
        <v>439</v>
      </c>
      <c r="AA180" s="49" t="s">
        <v>647</v>
      </c>
      <c r="AB180" s="101" t="s">
        <v>681</v>
      </c>
    </row>
    <row r="181" spans="2:28" s="49" customFormat="1" x14ac:dyDescent="0.15">
      <c r="B181" s="136" t="s">
        <v>957</v>
      </c>
      <c r="C181" s="113">
        <v>43126.589583333334</v>
      </c>
      <c r="D181" s="49" t="s">
        <v>444</v>
      </c>
      <c r="E181" s="49">
        <v>180126016</v>
      </c>
      <c r="F181" s="49">
        <v>26.4</v>
      </c>
      <c r="G181" s="49">
        <v>1</v>
      </c>
      <c r="H181" s="49">
        <v>9</v>
      </c>
      <c r="I181" s="49">
        <v>2</v>
      </c>
      <c r="J181" s="49">
        <v>4</v>
      </c>
      <c r="K181" s="49">
        <v>27630</v>
      </c>
      <c r="L181" s="49">
        <v>6370</v>
      </c>
      <c r="M181" s="49">
        <v>0</v>
      </c>
      <c r="N181" s="49">
        <v>21260</v>
      </c>
      <c r="O181" s="49">
        <v>0</v>
      </c>
      <c r="P181" s="49">
        <v>3163</v>
      </c>
      <c r="Q181" s="49">
        <v>0</v>
      </c>
      <c r="R181" s="49">
        <v>18097</v>
      </c>
      <c r="S181" s="49">
        <v>1.72</v>
      </c>
      <c r="T181" s="49">
        <v>31126.84</v>
      </c>
      <c r="X181" s="49" t="s">
        <v>441</v>
      </c>
      <c r="Y181" s="49" t="s">
        <v>442</v>
      </c>
      <c r="Z181" s="49" t="s">
        <v>443</v>
      </c>
      <c r="AA181" s="49" t="s">
        <v>643</v>
      </c>
      <c r="AB181" s="101" t="s">
        <v>682</v>
      </c>
    </row>
    <row r="182" spans="2:28" s="49" customFormat="1" x14ac:dyDescent="0.15">
      <c r="B182" s="136" t="s">
        <v>957</v>
      </c>
      <c r="C182" s="113">
        <v>43126.607638888891</v>
      </c>
      <c r="D182" s="49" t="s">
        <v>454</v>
      </c>
      <c r="E182" s="49">
        <v>180126022</v>
      </c>
      <c r="F182" s="49">
        <v>30.4</v>
      </c>
      <c r="G182" s="49">
        <v>1</v>
      </c>
      <c r="H182" s="49">
        <v>7</v>
      </c>
      <c r="I182" s="49">
        <v>0</v>
      </c>
      <c r="J182" s="49">
        <v>2</v>
      </c>
      <c r="K182" s="49">
        <v>21610</v>
      </c>
      <c r="L182" s="49">
        <v>7180</v>
      </c>
      <c r="M182" s="49">
        <v>0</v>
      </c>
      <c r="N182" s="49">
        <v>14430</v>
      </c>
      <c r="O182" s="49">
        <v>0</v>
      </c>
      <c r="P182" s="49">
        <v>2840</v>
      </c>
      <c r="Q182" s="49">
        <v>0</v>
      </c>
      <c r="R182" s="49">
        <v>11590</v>
      </c>
      <c r="S182" s="49">
        <v>1.72</v>
      </c>
      <c r="T182" s="49">
        <v>19934.8</v>
      </c>
      <c r="X182" s="49" t="s">
        <v>451</v>
      </c>
      <c r="Y182" s="49" t="s">
        <v>452</v>
      </c>
      <c r="Z182" s="49" t="s">
        <v>453</v>
      </c>
      <c r="AA182" s="49" t="s">
        <v>643</v>
      </c>
      <c r="AB182" s="101" t="s">
        <v>683</v>
      </c>
    </row>
    <row r="183" spans="2:28" s="49" customFormat="1" x14ac:dyDescent="0.15">
      <c r="B183" s="136" t="s">
        <v>957</v>
      </c>
      <c r="C183" s="113">
        <v>43126.611111111109</v>
      </c>
      <c r="D183" s="49" t="s">
        <v>448</v>
      </c>
      <c r="E183" s="49">
        <v>180126019</v>
      </c>
      <c r="F183" s="49">
        <v>24.9</v>
      </c>
      <c r="G183" s="49">
        <v>1</v>
      </c>
      <c r="H183" s="49">
        <v>8</v>
      </c>
      <c r="I183" s="49">
        <v>0</v>
      </c>
      <c r="J183" s="49">
        <v>3</v>
      </c>
      <c r="K183" s="49">
        <v>19390</v>
      </c>
      <c r="L183" s="49">
        <v>4760</v>
      </c>
      <c r="M183" s="49">
        <v>0</v>
      </c>
      <c r="N183" s="49">
        <v>14630</v>
      </c>
      <c r="O183" s="49">
        <v>0</v>
      </c>
      <c r="P183" s="49">
        <v>1914</v>
      </c>
      <c r="Q183" s="49">
        <v>0</v>
      </c>
      <c r="R183" s="49">
        <v>12716</v>
      </c>
      <c r="S183" s="49">
        <v>1.72</v>
      </c>
      <c r="T183" s="49">
        <v>21871.52</v>
      </c>
      <c r="X183" s="49" t="s">
        <v>445</v>
      </c>
      <c r="Y183" s="49" t="s">
        <v>446</v>
      </c>
      <c r="Z183" s="49" t="s">
        <v>447</v>
      </c>
      <c r="AA183" s="49" t="s">
        <v>643</v>
      </c>
      <c r="AB183" s="101" t="s">
        <v>684</v>
      </c>
    </row>
    <row r="184" spans="2:28" s="49" customFormat="1" x14ac:dyDescent="0.15">
      <c r="B184" s="136" t="s">
        <v>957</v>
      </c>
      <c r="C184" s="113">
        <v>43126.615972222222</v>
      </c>
      <c r="D184" s="49" t="s">
        <v>116</v>
      </c>
      <c r="E184" s="49">
        <v>180126017</v>
      </c>
      <c r="F184" s="49">
        <v>23.1</v>
      </c>
      <c r="G184" s="49">
        <v>1</v>
      </c>
      <c r="H184" s="49">
        <v>9</v>
      </c>
      <c r="I184" s="49">
        <v>2</v>
      </c>
      <c r="J184" s="49">
        <v>4</v>
      </c>
      <c r="K184" s="49">
        <v>27110</v>
      </c>
      <c r="L184" s="49">
        <v>8500</v>
      </c>
      <c r="M184" s="49">
        <v>0</v>
      </c>
      <c r="N184" s="49">
        <v>18610</v>
      </c>
      <c r="O184" s="49">
        <v>0</v>
      </c>
      <c r="P184" s="49">
        <v>2032</v>
      </c>
      <c r="Q184" s="49">
        <v>0</v>
      </c>
      <c r="R184" s="49">
        <v>16578</v>
      </c>
      <c r="S184" s="49">
        <v>1.72</v>
      </c>
      <c r="T184" s="49">
        <v>28514.16</v>
      </c>
      <c r="X184" s="49" t="s">
        <v>118</v>
      </c>
      <c r="Y184" s="49" t="s">
        <v>117</v>
      </c>
      <c r="Z184" s="49" t="s">
        <v>119</v>
      </c>
      <c r="AA184" s="49" t="s">
        <v>643</v>
      </c>
      <c r="AB184" s="101" t="s">
        <v>599</v>
      </c>
    </row>
    <row r="185" spans="2:28" s="49" customFormat="1" x14ac:dyDescent="0.15">
      <c r="B185" s="136" t="s">
        <v>957</v>
      </c>
      <c r="C185" s="113">
        <v>43126.623611111114</v>
      </c>
      <c r="D185" s="49" t="s">
        <v>450</v>
      </c>
      <c r="E185" s="49">
        <v>180126021</v>
      </c>
      <c r="F185" s="49">
        <v>26.1</v>
      </c>
      <c r="G185" s="49">
        <v>1</v>
      </c>
      <c r="H185" s="49">
        <v>7</v>
      </c>
      <c r="I185" s="49">
        <v>0</v>
      </c>
      <c r="J185" s="49">
        <v>2</v>
      </c>
      <c r="K185" s="49">
        <v>15330</v>
      </c>
      <c r="L185" s="49">
        <v>4350</v>
      </c>
      <c r="M185" s="49">
        <v>0</v>
      </c>
      <c r="N185" s="49">
        <v>10980</v>
      </c>
      <c r="O185" s="49">
        <v>0</v>
      </c>
      <c r="P185" s="49">
        <v>1594</v>
      </c>
      <c r="Q185" s="49">
        <v>0</v>
      </c>
      <c r="R185" s="49">
        <v>9386</v>
      </c>
      <c r="S185" s="49">
        <v>1.72</v>
      </c>
      <c r="T185" s="49">
        <v>16143.92</v>
      </c>
      <c r="X185" s="49" t="s">
        <v>441</v>
      </c>
      <c r="Y185" s="49" t="s">
        <v>442</v>
      </c>
      <c r="Z185" s="49" t="s">
        <v>443</v>
      </c>
      <c r="AA185" s="49" t="s">
        <v>643</v>
      </c>
      <c r="AB185" s="101" t="s">
        <v>682</v>
      </c>
    </row>
    <row r="186" spans="2:28" s="49" customFormat="1" x14ac:dyDescent="0.15">
      <c r="B186" s="136" t="s">
        <v>957</v>
      </c>
      <c r="C186" s="113">
        <v>43126.629861111112</v>
      </c>
      <c r="D186" s="49" t="s">
        <v>449</v>
      </c>
      <c r="E186" s="49">
        <v>180126020</v>
      </c>
      <c r="F186" s="49">
        <v>23.8</v>
      </c>
      <c r="G186" s="49">
        <v>1</v>
      </c>
      <c r="H186" s="49">
        <v>7</v>
      </c>
      <c r="I186" s="49">
        <v>0</v>
      </c>
      <c r="J186" s="49">
        <v>2</v>
      </c>
      <c r="K186" s="49">
        <v>18470</v>
      </c>
      <c r="L186" s="49">
        <v>4500</v>
      </c>
      <c r="M186" s="49">
        <v>0</v>
      </c>
      <c r="N186" s="49">
        <v>13970</v>
      </c>
      <c r="O186" s="49">
        <v>0</v>
      </c>
      <c r="P186" s="49">
        <v>1643</v>
      </c>
      <c r="Q186" s="49">
        <v>0</v>
      </c>
      <c r="R186" s="49">
        <v>12327</v>
      </c>
      <c r="S186" s="49">
        <v>1.72</v>
      </c>
      <c r="T186" s="49">
        <v>21202.44</v>
      </c>
      <c r="X186" s="49" t="s">
        <v>445</v>
      </c>
      <c r="Y186" s="49" t="s">
        <v>446</v>
      </c>
      <c r="Z186" s="49" t="s">
        <v>685</v>
      </c>
      <c r="AA186" s="49" t="s">
        <v>643</v>
      </c>
      <c r="AB186" s="101" t="s">
        <v>684</v>
      </c>
    </row>
    <row r="187" spans="2:28" s="49" customFormat="1" x14ac:dyDescent="0.15">
      <c r="B187" s="136" t="s">
        <v>957</v>
      </c>
      <c r="C187" s="113">
        <v>43126.663888888892</v>
      </c>
      <c r="D187" s="49" t="s">
        <v>462</v>
      </c>
      <c r="E187" s="49">
        <v>180126027</v>
      </c>
      <c r="F187" s="49">
        <v>27.5</v>
      </c>
      <c r="G187" s="49">
        <v>1</v>
      </c>
      <c r="H187" s="49">
        <v>8</v>
      </c>
      <c r="I187" s="49">
        <v>0</v>
      </c>
      <c r="J187" s="49">
        <v>3</v>
      </c>
      <c r="K187" s="49">
        <v>21250</v>
      </c>
      <c r="L187" s="49">
        <v>7220</v>
      </c>
      <c r="M187" s="49">
        <v>0</v>
      </c>
      <c r="N187" s="49">
        <v>14030</v>
      </c>
      <c r="O187" s="49">
        <v>0</v>
      </c>
      <c r="P187" s="49">
        <v>2273</v>
      </c>
      <c r="Q187" s="49">
        <v>0</v>
      </c>
      <c r="R187" s="49">
        <v>11757</v>
      </c>
      <c r="S187" s="49">
        <v>1.72</v>
      </c>
      <c r="T187" s="49">
        <v>20222.04</v>
      </c>
      <c r="X187" s="49" t="s">
        <v>459</v>
      </c>
      <c r="Y187" s="49" t="s">
        <v>460</v>
      </c>
      <c r="Z187" s="49" t="s">
        <v>461</v>
      </c>
      <c r="AA187" s="49" t="s">
        <v>643</v>
      </c>
      <c r="AB187" s="101" t="s">
        <v>686</v>
      </c>
    </row>
    <row r="188" spans="2:28" s="49" customFormat="1" x14ac:dyDescent="0.15">
      <c r="B188" s="136" t="s">
        <v>957</v>
      </c>
      <c r="C188" s="113">
        <v>43126.697222222225</v>
      </c>
      <c r="D188" s="49" t="s">
        <v>458</v>
      </c>
      <c r="E188" s="49">
        <v>180126025</v>
      </c>
      <c r="F188" s="49">
        <v>30.6</v>
      </c>
      <c r="G188" s="49">
        <v>1.2</v>
      </c>
      <c r="H188" s="49">
        <v>8</v>
      </c>
      <c r="I188" s="49">
        <v>0</v>
      </c>
      <c r="J188" s="49">
        <v>3</v>
      </c>
      <c r="K188" s="49">
        <v>90880</v>
      </c>
      <c r="L188" s="49">
        <v>18970</v>
      </c>
      <c r="M188" s="49">
        <v>144</v>
      </c>
      <c r="N188" s="49">
        <v>71910</v>
      </c>
      <c r="O188" s="49">
        <v>0</v>
      </c>
      <c r="P188" s="49">
        <v>14324</v>
      </c>
      <c r="Q188" s="49">
        <v>0</v>
      </c>
      <c r="R188" s="49">
        <v>57442</v>
      </c>
      <c r="S188" s="49">
        <v>1.72</v>
      </c>
      <c r="T188" s="49">
        <v>98800.24</v>
      </c>
      <c r="X188" s="49" t="s">
        <v>149</v>
      </c>
      <c r="Y188" s="49" t="s">
        <v>150</v>
      </c>
      <c r="Z188" s="49" t="s">
        <v>151</v>
      </c>
      <c r="AA188" s="49" t="s">
        <v>640</v>
      </c>
      <c r="AB188" s="101" t="s">
        <v>606</v>
      </c>
    </row>
    <row r="189" spans="2:28" s="49" customFormat="1" x14ac:dyDescent="0.15">
      <c r="B189" s="136" t="s">
        <v>957</v>
      </c>
      <c r="C189" s="113">
        <v>43126.70208333333</v>
      </c>
      <c r="D189" s="49" t="s">
        <v>457</v>
      </c>
      <c r="E189" s="49">
        <v>180126024</v>
      </c>
      <c r="F189" s="49">
        <v>29.8</v>
      </c>
      <c r="G189" s="49">
        <v>1</v>
      </c>
      <c r="H189" s="49">
        <v>8</v>
      </c>
      <c r="I189" s="49">
        <v>0</v>
      </c>
      <c r="J189" s="49">
        <v>3</v>
      </c>
      <c r="K189" s="49">
        <v>92410</v>
      </c>
      <c r="L189" s="49">
        <v>18200</v>
      </c>
      <c r="M189" s="49">
        <v>0</v>
      </c>
      <c r="N189" s="49">
        <v>74210</v>
      </c>
      <c r="O189" s="49">
        <v>0</v>
      </c>
      <c r="P189" s="49">
        <v>14070</v>
      </c>
      <c r="Q189" s="49">
        <v>0</v>
      </c>
      <c r="R189" s="49">
        <v>60140</v>
      </c>
      <c r="S189" s="49">
        <v>1.72</v>
      </c>
      <c r="T189" s="49">
        <v>103440.8</v>
      </c>
      <c r="X189" s="49" t="s">
        <v>149</v>
      </c>
      <c r="Y189" s="49" t="s">
        <v>150</v>
      </c>
      <c r="Z189" s="49" t="s">
        <v>151</v>
      </c>
      <c r="AA189" s="49" t="s">
        <v>640</v>
      </c>
      <c r="AB189" s="101" t="s">
        <v>606</v>
      </c>
    </row>
    <row r="190" spans="2:28" s="49" customFormat="1" x14ac:dyDescent="0.15">
      <c r="B190" s="136" t="s">
        <v>957</v>
      </c>
      <c r="C190" s="113">
        <v>43126.709722222222</v>
      </c>
      <c r="D190" s="49" t="s">
        <v>467</v>
      </c>
      <c r="E190" s="49">
        <v>180126028</v>
      </c>
      <c r="F190" s="49">
        <v>25.5</v>
      </c>
      <c r="G190" s="49">
        <v>1</v>
      </c>
      <c r="H190" s="49">
        <v>9</v>
      </c>
      <c r="I190" s="49">
        <v>0</v>
      </c>
      <c r="J190" s="49">
        <v>4</v>
      </c>
      <c r="K190" s="49">
        <v>60210</v>
      </c>
      <c r="L190" s="49">
        <v>14580</v>
      </c>
      <c r="M190" s="49">
        <v>0</v>
      </c>
      <c r="N190" s="49">
        <v>45630</v>
      </c>
      <c r="O190" s="49">
        <v>0</v>
      </c>
      <c r="P190" s="49">
        <v>6297</v>
      </c>
      <c r="Q190" s="49">
        <v>0</v>
      </c>
      <c r="R190" s="49">
        <v>39333</v>
      </c>
      <c r="S190" s="49">
        <v>1.72</v>
      </c>
      <c r="T190" s="49">
        <v>67652.759999999995</v>
      </c>
      <c r="X190" s="49" t="s">
        <v>463</v>
      </c>
      <c r="Y190" s="49" t="s">
        <v>464</v>
      </c>
      <c r="Z190" s="49" t="s">
        <v>465</v>
      </c>
      <c r="AA190" s="49" t="s">
        <v>643</v>
      </c>
      <c r="AB190" s="101" t="s">
        <v>687</v>
      </c>
    </row>
    <row r="191" spans="2:28" s="49" customFormat="1" x14ac:dyDescent="0.15">
      <c r="B191" s="136" t="s">
        <v>957</v>
      </c>
      <c r="C191" s="113">
        <v>43126.724305555559</v>
      </c>
      <c r="D191" s="49" t="s">
        <v>466</v>
      </c>
      <c r="E191" s="49">
        <v>180126023</v>
      </c>
      <c r="F191" s="49">
        <v>25.6</v>
      </c>
      <c r="G191" s="49">
        <v>1</v>
      </c>
      <c r="H191" s="49">
        <v>9</v>
      </c>
      <c r="I191" s="49">
        <v>0</v>
      </c>
      <c r="J191" s="49">
        <v>4</v>
      </c>
      <c r="K191" s="49">
        <v>60670</v>
      </c>
      <c r="L191" s="49">
        <v>15550</v>
      </c>
      <c r="M191" s="49">
        <v>0</v>
      </c>
      <c r="N191" s="49">
        <v>45120</v>
      </c>
      <c r="O191" s="49">
        <v>0</v>
      </c>
      <c r="P191" s="49">
        <v>6281</v>
      </c>
      <c r="Q191" s="49">
        <v>0</v>
      </c>
      <c r="R191" s="49">
        <v>38839</v>
      </c>
      <c r="S191" s="49">
        <v>1.72</v>
      </c>
      <c r="T191" s="49">
        <v>66803.08</v>
      </c>
      <c r="X191" s="49" t="s">
        <v>463</v>
      </c>
      <c r="Y191" s="49" t="s">
        <v>464</v>
      </c>
      <c r="Z191" s="49" t="s">
        <v>465</v>
      </c>
      <c r="AA191" s="49" t="s">
        <v>643</v>
      </c>
      <c r="AB191" s="101" t="s">
        <v>687</v>
      </c>
    </row>
    <row r="192" spans="2:28" s="49" customFormat="1" x14ac:dyDescent="0.15">
      <c r="B192" s="136" t="s">
        <v>957</v>
      </c>
      <c r="C192" s="113">
        <v>43126.743055555555</v>
      </c>
      <c r="D192" s="49" t="s">
        <v>468</v>
      </c>
      <c r="E192" s="49">
        <v>180126029</v>
      </c>
      <c r="F192" s="49">
        <v>25.5</v>
      </c>
      <c r="G192" s="49">
        <v>1.2</v>
      </c>
      <c r="H192" s="49">
        <v>9</v>
      </c>
      <c r="I192" s="49">
        <v>0</v>
      </c>
      <c r="J192" s="49">
        <v>4</v>
      </c>
      <c r="K192" s="49">
        <v>58670</v>
      </c>
      <c r="L192" s="49">
        <v>14630</v>
      </c>
      <c r="M192" s="49">
        <v>88</v>
      </c>
      <c r="N192" s="49">
        <v>44040</v>
      </c>
      <c r="O192" s="49">
        <v>0</v>
      </c>
      <c r="P192" s="49">
        <v>6078</v>
      </c>
      <c r="Q192" s="49">
        <v>0</v>
      </c>
      <c r="R192" s="49">
        <v>37874</v>
      </c>
      <c r="S192" s="49">
        <v>1.72</v>
      </c>
      <c r="T192" s="49">
        <v>65143.28</v>
      </c>
      <c r="X192" s="49" t="s">
        <v>463</v>
      </c>
      <c r="Y192" s="49" t="s">
        <v>464</v>
      </c>
      <c r="Z192" s="49" t="s">
        <v>465</v>
      </c>
      <c r="AA192" s="49" t="s">
        <v>643</v>
      </c>
      <c r="AB192" s="101" t="s">
        <v>687</v>
      </c>
    </row>
    <row r="193" spans="2:28" s="49" customFormat="1" x14ac:dyDescent="0.15">
      <c r="B193" s="136" t="s">
        <v>957</v>
      </c>
      <c r="C193" s="113"/>
      <c r="AB193" s="101"/>
    </row>
    <row r="194" spans="2:28" s="49" customFormat="1" x14ac:dyDescent="0.15">
      <c r="B194" s="136" t="s">
        <v>957</v>
      </c>
      <c r="C194" s="113">
        <v>43127.413888888892</v>
      </c>
      <c r="D194" s="49" t="s">
        <v>351</v>
      </c>
      <c r="E194" s="49">
        <v>180127001</v>
      </c>
      <c r="F194" s="49">
        <v>26.8</v>
      </c>
      <c r="G194" s="49">
        <v>1</v>
      </c>
      <c r="H194" s="49">
        <v>8</v>
      </c>
      <c r="I194" s="49">
        <v>0</v>
      </c>
      <c r="J194" s="49">
        <v>3</v>
      </c>
      <c r="K194" s="49">
        <v>46410</v>
      </c>
      <c r="L194" s="49">
        <v>12290</v>
      </c>
      <c r="M194" s="49">
        <v>0</v>
      </c>
      <c r="N194" s="49">
        <v>34120</v>
      </c>
      <c r="O194" s="49">
        <v>0</v>
      </c>
      <c r="P194" s="49">
        <v>5241</v>
      </c>
      <c r="Q194" s="49">
        <v>0</v>
      </c>
      <c r="R194" s="49">
        <v>28879</v>
      </c>
      <c r="S194" s="49">
        <v>1.72</v>
      </c>
      <c r="T194" s="49">
        <v>49671.88</v>
      </c>
      <c r="X194" s="49" t="s">
        <v>348</v>
      </c>
      <c r="Y194" s="49" t="s">
        <v>349</v>
      </c>
      <c r="Z194" s="49" t="s">
        <v>350</v>
      </c>
      <c r="AA194" s="49" t="s">
        <v>966</v>
      </c>
      <c r="AB194" s="101" t="s">
        <v>659</v>
      </c>
    </row>
    <row r="195" spans="2:28" s="49" customFormat="1" x14ac:dyDescent="0.15">
      <c r="B195" s="136" t="s">
        <v>957</v>
      </c>
      <c r="C195" s="113">
        <v>43127.427083333336</v>
      </c>
      <c r="D195" s="49" t="s">
        <v>202</v>
      </c>
      <c r="E195" s="49">
        <v>180127002</v>
      </c>
      <c r="F195" s="49">
        <v>23.1</v>
      </c>
      <c r="G195" s="49">
        <v>1</v>
      </c>
      <c r="H195" s="49">
        <v>9</v>
      </c>
      <c r="I195" s="49">
        <v>0</v>
      </c>
      <c r="J195" s="49">
        <v>3</v>
      </c>
      <c r="K195" s="49">
        <v>80370</v>
      </c>
      <c r="L195" s="49">
        <v>17440</v>
      </c>
      <c r="M195" s="49">
        <v>0</v>
      </c>
      <c r="N195" s="49">
        <v>62930</v>
      </c>
      <c r="O195" s="49">
        <v>0</v>
      </c>
      <c r="P195" s="49">
        <v>6872</v>
      </c>
      <c r="Q195" s="49">
        <v>0</v>
      </c>
      <c r="R195" s="49">
        <v>56058</v>
      </c>
      <c r="S195" s="49">
        <v>1.72</v>
      </c>
      <c r="T195" s="49">
        <v>96419.76</v>
      </c>
      <c r="X195" s="49" t="s">
        <v>469</v>
      </c>
      <c r="Y195" s="49" t="s">
        <v>470</v>
      </c>
      <c r="Z195" s="49" t="s">
        <v>471</v>
      </c>
      <c r="AA195" s="49" t="s">
        <v>643</v>
      </c>
      <c r="AB195" s="101" t="s">
        <v>688</v>
      </c>
    </row>
    <row r="196" spans="2:28" s="49" customFormat="1" x14ac:dyDescent="0.15">
      <c r="B196" s="136" t="s">
        <v>957</v>
      </c>
      <c r="C196" s="113">
        <v>43127.490972222222</v>
      </c>
      <c r="D196" s="49" t="s">
        <v>473</v>
      </c>
      <c r="E196" s="49">
        <v>180127004</v>
      </c>
      <c r="F196" s="49">
        <v>27.5</v>
      </c>
      <c r="G196" s="49">
        <v>1</v>
      </c>
      <c r="H196" s="49">
        <v>8</v>
      </c>
      <c r="I196" s="49">
        <v>0</v>
      </c>
      <c r="J196" s="49">
        <v>3</v>
      </c>
      <c r="K196" s="49">
        <v>73900</v>
      </c>
      <c r="L196" s="49">
        <v>17250</v>
      </c>
      <c r="M196" s="49">
        <v>0</v>
      </c>
      <c r="N196" s="49">
        <v>56650</v>
      </c>
      <c r="O196" s="49">
        <v>0</v>
      </c>
      <c r="P196" s="49">
        <v>9177</v>
      </c>
      <c r="Q196" s="49">
        <v>0</v>
      </c>
      <c r="R196" s="49">
        <v>47473</v>
      </c>
      <c r="S196" s="49">
        <v>1.72</v>
      </c>
      <c r="T196" s="49">
        <v>81653.56</v>
      </c>
      <c r="X196" s="49" t="s">
        <v>348</v>
      </c>
      <c r="Y196" s="49" t="s">
        <v>349</v>
      </c>
      <c r="Z196" s="49" t="s">
        <v>350</v>
      </c>
      <c r="AA196" s="49" t="s">
        <v>405</v>
      </c>
      <c r="AB196" s="101" t="s">
        <v>659</v>
      </c>
    </row>
    <row r="197" spans="2:28" s="49" customFormat="1" x14ac:dyDescent="0.15">
      <c r="B197" s="136" t="s">
        <v>957</v>
      </c>
      <c r="C197" s="113">
        <v>43127.5</v>
      </c>
      <c r="D197" s="49" t="s">
        <v>449</v>
      </c>
      <c r="E197" s="49">
        <v>180127006</v>
      </c>
      <c r="F197" s="49">
        <v>26.4</v>
      </c>
      <c r="G197" s="49">
        <v>1</v>
      </c>
      <c r="H197" s="49">
        <v>9</v>
      </c>
      <c r="I197" s="49">
        <v>2</v>
      </c>
      <c r="J197" s="49">
        <v>4</v>
      </c>
      <c r="K197" s="49">
        <v>17930</v>
      </c>
      <c r="L197" s="49">
        <v>4480</v>
      </c>
      <c r="M197" s="49">
        <v>0</v>
      </c>
      <c r="N197" s="49">
        <v>13450</v>
      </c>
      <c r="O197" s="49">
        <v>0</v>
      </c>
      <c r="P197" s="49">
        <v>2001</v>
      </c>
      <c r="Q197" s="49">
        <v>0</v>
      </c>
      <c r="R197" s="49">
        <v>11449</v>
      </c>
      <c r="S197" s="49">
        <v>1.72</v>
      </c>
      <c r="T197" s="49">
        <v>19692.28</v>
      </c>
      <c r="X197" s="49" t="s">
        <v>474</v>
      </c>
      <c r="Y197" s="49" t="s">
        <v>475</v>
      </c>
      <c r="Z197" s="49" t="s">
        <v>476</v>
      </c>
      <c r="AA197" s="49" t="s">
        <v>689</v>
      </c>
      <c r="AB197" s="101" t="s">
        <v>690</v>
      </c>
    </row>
    <row r="198" spans="2:28" s="49" customFormat="1" x14ac:dyDescent="0.15">
      <c r="B198" s="136" t="s">
        <v>957</v>
      </c>
      <c r="C198" s="113">
        <v>43127.515277777777</v>
      </c>
      <c r="D198" s="49" t="s">
        <v>472</v>
      </c>
      <c r="E198" s="49">
        <v>180127003</v>
      </c>
      <c r="F198" s="49">
        <v>28.5</v>
      </c>
      <c r="G198" s="49">
        <v>1</v>
      </c>
      <c r="H198" s="49">
        <v>8</v>
      </c>
      <c r="I198" s="49">
        <v>0.2</v>
      </c>
      <c r="J198" s="49">
        <v>3</v>
      </c>
      <c r="K198" s="49">
        <v>76650</v>
      </c>
      <c r="L198" s="49">
        <v>16120</v>
      </c>
      <c r="M198" s="49">
        <v>0</v>
      </c>
      <c r="N198" s="49">
        <v>60530</v>
      </c>
      <c r="O198" s="49">
        <v>0</v>
      </c>
      <c r="P198" s="49">
        <v>10532</v>
      </c>
      <c r="Q198" s="49">
        <v>0</v>
      </c>
      <c r="R198" s="49">
        <v>49998</v>
      </c>
      <c r="S198" s="49">
        <v>1.72</v>
      </c>
      <c r="T198" s="49">
        <v>85996.56</v>
      </c>
      <c r="X198" s="49" t="s">
        <v>482</v>
      </c>
      <c r="Y198" s="49" t="s">
        <v>477</v>
      </c>
      <c r="Z198" s="49" t="s">
        <v>483</v>
      </c>
      <c r="AA198" s="49" t="s">
        <v>691</v>
      </c>
      <c r="AB198" s="101" t="s">
        <v>692</v>
      </c>
    </row>
    <row r="199" spans="2:28" s="49" customFormat="1" x14ac:dyDescent="0.15">
      <c r="B199" s="136" t="s">
        <v>957</v>
      </c>
      <c r="C199" s="113">
        <v>43127.55</v>
      </c>
      <c r="D199" s="49" t="s">
        <v>481</v>
      </c>
      <c r="E199" s="49">
        <v>180127007</v>
      </c>
      <c r="F199" s="49">
        <v>29.1</v>
      </c>
      <c r="G199" s="49">
        <v>1</v>
      </c>
      <c r="H199" s="49">
        <v>10</v>
      </c>
      <c r="I199" s="49">
        <v>3</v>
      </c>
      <c r="J199" s="49">
        <v>6</v>
      </c>
      <c r="K199" s="49">
        <v>32120</v>
      </c>
      <c r="L199" s="49">
        <v>7160</v>
      </c>
      <c r="M199" s="49">
        <v>0</v>
      </c>
      <c r="N199" s="49">
        <v>24960</v>
      </c>
      <c r="O199" s="49">
        <v>0</v>
      </c>
      <c r="P199" s="49">
        <v>4523</v>
      </c>
      <c r="Q199" s="49">
        <v>0</v>
      </c>
      <c r="R199" s="49">
        <v>20437</v>
      </c>
      <c r="S199" s="49">
        <v>1.72</v>
      </c>
      <c r="T199" s="49">
        <v>35151.64</v>
      </c>
      <c r="X199" s="49" t="s">
        <v>478</v>
      </c>
      <c r="Y199" s="49" t="s">
        <v>479</v>
      </c>
      <c r="Z199" s="49" t="s">
        <v>480</v>
      </c>
      <c r="AA199" s="49" t="s">
        <v>643</v>
      </c>
      <c r="AB199" s="101" t="s">
        <v>693</v>
      </c>
    </row>
    <row r="200" spans="2:28" s="49" customFormat="1" x14ac:dyDescent="0.15">
      <c r="B200" s="136" t="s">
        <v>957</v>
      </c>
      <c r="C200" s="113">
        <v>43127.574305555558</v>
      </c>
      <c r="D200" s="49" t="s">
        <v>448</v>
      </c>
      <c r="E200" s="49">
        <v>180127008</v>
      </c>
      <c r="F200" s="49">
        <v>27.5</v>
      </c>
      <c r="G200" s="49">
        <v>1</v>
      </c>
      <c r="H200" s="49">
        <v>8</v>
      </c>
      <c r="I200" s="49">
        <v>0</v>
      </c>
      <c r="J200" s="49">
        <v>4</v>
      </c>
      <c r="K200" s="49">
        <v>19830</v>
      </c>
      <c r="L200" s="49">
        <v>4760</v>
      </c>
      <c r="M200" s="49">
        <v>0</v>
      </c>
      <c r="N200" s="49">
        <v>15070</v>
      </c>
      <c r="O200" s="49">
        <v>0</v>
      </c>
      <c r="P200" s="49">
        <v>2441</v>
      </c>
      <c r="Q200" s="49">
        <v>0</v>
      </c>
      <c r="R200" s="49">
        <v>12629</v>
      </c>
      <c r="S200" s="49">
        <v>1.72</v>
      </c>
      <c r="T200" s="49">
        <v>21721.88</v>
      </c>
      <c r="X200" s="49" t="s">
        <v>445</v>
      </c>
      <c r="Y200" s="49" t="s">
        <v>446</v>
      </c>
      <c r="Z200" s="49" t="s">
        <v>447</v>
      </c>
      <c r="AA200" s="49" t="s">
        <v>643</v>
      </c>
      <c r="AB200" s="101" t="s">
        <v>684</v>
      </c>
    </row>
    <row r="201" spans="2:28" s="49" customFormat="1" x14ac:dyDescent="0.15">
      <c r="B201" s="136" t="s">
        <v>957</v>
      </c>
      <c r="C201" s="113">
        <v>43127.585416666669</v>
      </c>
      <c r="D201" s="49" t="s">
        <v>116</v>
      </c>
      <c r="E201" s="49">
        <v>180127011</v>
      </c>
      <c r="F201" s="49">
        <v>24.3</v>
      </c>
      <c r="G201" s="49">
        <v>1</v>
      </c>
      <c r="H201" s="49">
        <v>8</v>
      </c>
      <c r="I201" s="49">
        <v>0</v>
      </c>
      <c r="J201" s="49">
        <v>3</v>
      </c>
      <c r="K201" s="49">
        <v>21440</v>
      </c>
      <c r="L201" s="49">
        <v>8480</v>
      </c>
      <c r="M201" s="49">
        <v>0</v>
      </c>
      <c r="N201" s="49">
        <v>12960</v>
      </c>
      <c r="O201" s="49">
        <v>0</v>
      </c>
      <c r="P201" s="49">
        <v>1602</v>
      </c>
      <c r="Q201" s="49">
        <v>0</v>
      </c>
      <c r="R201" s="49">
        <v>11358</v>
      </c>
      <c r="S201" s="49">
        <v>1.72</v>
      </c>
      <c r="T201" s="49">
        <v>19535.759999999998</v>
      </c>
      <c r="X201" s="49" t="s">
        <v>118</v>
      </c>
      <c r="Y201" s="49" t="s">
        <v>117</v>
      </c>
      <c r="Z201" s="49" t="s">
        <v>119</v>
      </c>
      <c r="AA201" s="49" t="s">
        <v>643</v>
      </c>
      <c r="AB201" s="101" t="s">
        <v>599</v>
      </c>
    </row>
    <row r="202" spans="2:28" s="49" customFormat="1" x14ac:dyDescent="0.15">
      <c r="B202" s="136" t="s">
        <v>957</v>
      </c>
      <c r="C202" s="113">
        <v>43127.646527777775</v>
      </c>
      <c r="D202" s="49" t="s">
        <v>489</v>
      </c>
      <c r="E202" s="49">
        <v>180127018</v>
      </c>
      <c r="F202" s="49">
        <v>29.5</v>
      </c>
      <c r="G202" s="49">
        <v>1</v>
      </c>
      <c r="H202" s="49">
        <v>8</v>
      </c>
      <c r="I202" s="49">
        <v>0</v>
      </c>
      <c r="J202" s="49">
        <v>3</v>
      </c>
      <c r="K202" s="49">
        <v>29590</v>
      </c>
      <c r="L202" s="49">
        <v>7130</v>
      </c>
      <c r="M202" s="49">
        <v>0</v>
      </c>
      <c r="N202" s="49">
        <v>22460</v>
      </c>
      <c r="O202" s="49">
        <v>0</v>
      </c>
      <c r="P202" s="49">
        <v>4178</v>
      </c>
      <c r="Q202" s="49">
        <v>0</v>
      </c>
      <c r="R202" s="49">
        <v>18282</v>
      </c>
      <c r="S202" s="49">
        <v>1.72</v>
      </c>
      <c r="T202" s="49">
        <v>31445.040000000001</v>
      </c>
      <c r="X202" s="49" t="s">
        <v>487</v>
      </c>
      <c r="Y202" s="49" t="s">
        <v>488</v>
      </c>
      <c r="Z202" s="49" t="s">
        <v>443</v>
      </c>
      <c r="AA202" s="49" t="s">
        <v>643</v>
      </c>
      <c r="AB202" s="101" t="s">
        <v>694</v>
      </c>
    </row>
    <row r="203" spans="2:28" s="49" customFormat="1" x14ac:dyDescent="0.15">
      <c r="B203" s="136" t="s">
        <v>957</v>
      </c>
      <c r="C203" s="113">
        <v>43127.655555555553</v>
      </c>
      <c r="D203" s="49" t="s">
        <v>492</v>
      </c>
      <c r="E203" s="49">
        <v>180127019</v>
      </c>
      <c r="F203" s="49">
        <v>30.1</v>
      </c>
      <c r="G203" s="49">
        <v>1</v>
      </c>
      <c r="H203" s="49">
        <v>9</v>
      </c>
      <c r="I203" s="49">
        <v>2</v>
      </c>
      <c r="J203" s="49">
        <v>5</v>
      </c>
      <c r="K203" s="49">
        <v>41700</v>
      </c>
      <c r="L203" s="49">
        <v>9090</v>
      </c>
      <c r="M203" s="49">
        <v>0</v>
      </c>
      <c r="N203" s="49">
        <v>32610</v>
      </c>
      <c r="O203" s="49">
        <v>0</v>
      </c>
      <c r="P203" s="49">
        <v>6300</v>
      </c>
      <c r="Q203" s="49">
        <v>0</v>
      </c>
      <c r="R203" s="49">
        <v>26310</v>
      </c>
      <c r="S203" s="49">
        <v>1.72</v>
      </c>
      <c r="T203" s="49">
        <v>45253.2</v>
      </c>
      <c r="X203" s="49" t="s">
        <v>490</v>
      </c>
      <c r="Y203" s="49" t="s">
        <v>491</v>
      </c>
      <c r="Z203" s="49" t="s">
        <v>480</v>
      </c>
      <c r="AA203" s="49" t="s">
        <v>643</v>
      </c>
      <c r="AB203" s="101" t="s">
        <v>695</v>
      </c>
    </row>
    <row r="204" spans="2:28" s="49" customFormat="1" x14ac:dyDescent="0.15">
      <c r="B204" s="136" t="s">
        <v>957</v>
      </c>
      <c r="C204" s="113">
        <v>43127.665972222225</v>
      </c>
      <c r="D204" s="49" t="s">
        <v>496</v>
      </c>
      <c r="E204" s="49">
        <v>180127020</v>
      </c>
      <c r="F204" s="49">
        <v>27.8</v>
      </c>
      <c r="G204" s="49">
        <v>1</v>
      </c>
      <c r="H204" s="49">
        <v>9</v>
      </c>
      <c r="I204" s="49">
        <v>2</v>
      </c>
      <c r="J204" s="49">
        <v>5</v>
      </c>
      <c r="K204" s="49">
        <v>18710</v>
      </c>
      <c r="L204" s="49">
        <v>4320</v>
      </c>
      <c r="M204" s="49">
        <v>0</v>
      </c>
      <c r="N204" s="49">
        <v>14390</v>
      </c>
      <c r="O204" s="49">
        <v>0</v>
      </c>
      <c r="P204" s="49">
        <v>2383</v>
      </c>
      <c r="Q204" s="49">
        <v>0</v>
      </c>
      <c r="R204" s="49">
        <v>12007</v>
      </c>
      <c r="S204" s="49">
        <v>1.72</v>
      </c>
      <c r="T204" s="49">
        <v>20652.04</v>
      </c>
      <c r="X204" s="49" t="s">
        <v>493</v>
      </c>
      <c r="Y204" s="49" t="s">
        <v>494</v>
      </c>
      <c r="Z204" s="49" t="s">
        <v>495</v>
      </c>
      <c r="AA204" s="49" t="s">
        <v>643</v>
      </c>
      <c r="AB204" s="101" t="s">
        <v>696</v>
      </c>
    </row>
    <row r="205" spans="2:28" s="49" customFormat="1" x14ac:dyDescent="0.15">
      <c r="B205" s="136" t="s">
        <v>957</v>
      </c>
      <c r="C205" s="113">
        <v>43127.706250000003</v>
      </c>
      <c r="D205" s="49" t="s">
        <v>484</v>
      </c>
      <c r="E205" s="49">
        <v>180127009</v>
      </c>
      <c r="F205" s="49">
        <v>29.2</v>
      </c>
      <c r="G205" s="49">
        <v>1.2</v>
      </c>
      <c r="H205" s="49">
        <v>8</v>
      </c>
      <c r="I205" s="49">
        <v>0</v>
      </c>
      <c r="J205" s="49">
        <v>3</v>
      </c>
      <c r="K205" s="49">
        <v>86060</v>
      </c>
      <c r="L205" s="49">
        <v>19160</v>
      </c>
      <c r="M205" s="49">
        <v>134</v>
      </c>
      <c r="N205" s="49">
        <v>66900</v>
      </c>
      <c r="O205" s="49">
        <v>0</v>
      </c>
      <c r="P205" s="49">
        <v>12203</v>
      </c>
      <c r="Q205" s="49">
        <v>0</v>
      </c>
      <c r="R205" s="49">
        <v>54563</v>
      </c>
      <c r="S205" s="49">
        <v>1.72</v>
      </c>
      <c r="T205" s="49">
        <v>93848.36</v>
      </c>
      <c r="X205" s="49" t="s">
        <v>390</v>
      </c>
      <c r="Y205" s="49" t="s">
        <v>391</v>
      </c>
      <c r="Z205" s="49" t="s">
        <v>392</v>
      </c>
      <c r="AA205" s="49" t="s">
        <v>670</v>
      </c>
      <c r="AB205" s="101" t="s">
        <v>671</v>
      </c>
    </row>
    <row r="206" spans="2:28" s="49" customFormat="1" x14ac:dyDescent="0.15">
      <c r="B206" s="136" t="s">
        <v>957</v>
      </c>
      <c r="C206" s="113">
        <v>43127.739583333336</v>
      </c>
      <c r="D206" s="49" t="s">
        <v>250</v>
      </c>
      <c r="E206" s="49">
        <v>180127014</v>
      </c>
      <c r="F206" s="49">
        <v>30</v>
      </c>
      <c r="G206" s="49">
        <v>1</v>
      </c>
      <c r="H206" s="49">
        <v>8</v>
      </c>
      <c r="I206" s="49">
        <v>0</v>
      </c>
      <c r="J206" s="49">
        <v>3</v>
      </c>
      <c r="K206" s="49">
        <v>83690</v>
      </c>
      <c r="L206" s="49">
        <v>18720</v>
      </c>
      <c r="M206" s="49">
        <v>0</v>
      </c>
      <c r="N206" s="49">
        <v>64970</v>
      </c>
      <c r="O206" s="49">
        <v>0</v>
      </c>
      <c r="P206" s="49">
        <v>12474</v>
      </c>
      <c r="Q206" s="49">
        <v>0</v>
      </c>
      <c r="R206" s="49">
        <v>52496</v>
      </c>
      <c r="S206" s="49">
        <v>1.72</v>
      </c>
      <c r="T206" s="49">
        <v>90293.119999999995</v>
      </c>
      <c r="X206" s="49" t="s">
        <v>390</v>
      </c>
      <c r="Y206" s="49" t="s">
        <v>391</v>
      </c>
      <c r="Z206" s="49" t="s">
        <v>392</v>
      </c>
      <c r="AA206" s="49" t="s">
        <v>670</v>
      </c>
      <c r="AB206" s="101" t="s">
        <v>671</v>
      </c>
    </row>
    <row r="207" spans="2:28" s="49" customFormat="1" x14ac:dyDescent="0.15">
      <c r="B207" s="136" t="s">
        <v>957</v>
      </c>
      <c r="C207" s="113">
        <v>43127.748611111114</v>
      </c>
      <c r="D207" s="49" t="s">
        <v>485</v>
      </c>
      <c r="E207" s="49">
        <v>180127010</v>
      </c>
      <c r="F207" s="49">
        <v>29.2</v>
      </c>
      <c r="G207" s="49">
        <v>2</v>
      </c>
      <c r="H207" s="49">
        <v>8</v>
      </c>
      <c r="I207" s="49">
        <v>0</v>
      </c>
      <c r="J207" s="49">
        <v>3</v>
      </c>
      <c r="K207" s="49">
        <v>90850</v>
      </c>
      <c r="L207" s="49">
        <v>19260</v>
      </c>
      <c r="M207" s="49">
        <v>716</v>
      </c>
      <c r="N207" s="49">
        <v>71590</v>
      </c>
      <c r="O207" s="49">
        <v>0</v>
      </c>
      <c r="P207" s="49">
        <v>13058</v>
      </c>
      <c r="Q207" s="49">
        <v>0</v>
      </c>
      <c r="R207" s="49">
        <v>57816</v>
      </c>
      <c r="S207" s="49">
        <v>1.72</v>
      </c>
      <c r="T207" s="49">
        <v>99443.520000000004</v>
      </c>
      <c r="X207" s="49" t="s">
        <v>390</v>
      </c>
      <c r="Y207" s="49" t="s">
        <v>391</v>
      </c>
      <c r="Z207" s="49" t="s">
        <v>392</v>
      </c>
      <c r="AA207" s="49" t="s">
        <v>670</v>
      </c>
      <c r="AB207" s="101" t="s">
        <v>671</v>
      </c>
    </row>
    <row r="208" spans="2:28" s="49" customFormat="1" x14ac:dyDescent="0.15">
      <c r="B208" s="136" t="s">
        <v>957</v>
      </c>
      <c r="C208" s="113">
        <v>43127.753472222219</v>
      </c>
      <c r="D208" s="49" t="s">
        <v>249</v>
      </c>
      <c r="E208" s="49">
        <v>180127012</v>
      </c>
      <c r="F208" s="49">
        <v>30.1</v>
      </c>
      <c r="G208" s="49">
        <v>1</v>
      </c>
      <c r="H208" s="49">
        <v>8</v>
      </c>
      <c r="I208" s="49">
        <v>0</v>
      </c>
      <c r="J208" s="49">
        <v>3</v>
      </c>
      <c r="K208" s="49">
        <v>77430</v>
      </c>
      <c r="L208" s="49">
        <v>19060</v>
      </c>
      <c r="M208" s="49">
        <v>0</v>
      </c>
      <c r="N208" s="49">
        <v>58370</v>
      </c>
      <c r="O208" s="49">
        <v>0</v>
      </c>
      <c r="P208" s="49">
        <v>11277</v>
      </c>
      <c r="Q208" s="49">
        <v>0</v>
      </c>
      <c r="R208" s="49">
        <v>47093</v>
      </c>
      <c r="S208" s="49">
        <v>1.72</v>
      </c>
      <c r="T208" s="49">
        <v>80999.959999999992</v>
      </c>
      <c r="X208" s="49" t="s">
        <v>390</v>
      </c>
      <c r="Y208" s="49" t="s">
        <v>391</v>
      </c>
      <c r="Z208" s="49" t="s">
        <v>392</v>
      </c>
      <c r="AA208" s="49" t="s">
        <v>670</v>
      </c>
      <c r="AB208" s="101" t="s">
        <v>671</v>
      </c>
    </row>
    <row r="209" spans="2:28" s="49" customFormat="1" x14ac:dyDescent="0.15">
      <c r="B209" s="136" t="s">
        <v>957</v>
      </c>
      <c r="C209" s="113">
        <v>43127.785416666666</v>
      </c>
      <c r="D209" s="49" t="s">
        <v>497</v>
      </c>
      <c r="E209" s="49">
        <v>180127022</v>
      </c>
      <c r="F209" s="49">
        <v>24.5</v>
      </c>
      <c r="G209" s="49">
        <v>1</v>
      </c>
      <c r="H209" s="49">
        <v>8</v>
      </c>
      <c r="I209" s="49">
        <v>0</v>
      </c>
      <c r="J209" s="49">
        <v>3</v>
      </c>
      <c r="K209" s="49">
        <v>54410</v>
      </c>
      <c r="L209" s="49">
        <v>13090</v>
      </c>
      <c r="M209" s="49">
        <v>0</v>
      </c>
      <c r="N209" s="49">
        <v>41320</v>
      </c>
      <c r="O209" s="49">
        <v>0</v>
      </c>
      <c r="P209" s="49">
        <v>5206</v>
      </c>
      <c r="Q209" s="49">
        <v>0</v>
      </c>
      <c r="R209" s="49">
        <v>36114</v>
      </c>
      <c r="S209" s="49">
        <v>1.72</v>
      </c>
      <c r="T209" s="49">
        <v>62116.08</v>
      </c>
      <c r="X209" s="49" t="s">
        <v>487</v>
      </c>
      <c r="Y209" s="49" t="s">
        <v>488</v>
      </c>
      <c r="Z209" s="49" t="s">
        <v>443</v>
      </c>
      <c r="AA209" s="49" t="s">
        <v>643</v>
      </c>
      <c r="AB209" s="101" t="s">
        <v>694</v>
      </c>
    </row>
    <row r="210" spans="2:28" s="49" customFormat="1" x14ac:dyDescent="0.15">
      <c r="B210" s="136" t="s">
        <v>957</v>
      </c>
      <c r="C210" s="113">
        <v>43127.791666666664</v>
      </c>
      <c r="D210" s="49" t="s">
        <v>449</v>
      </c>
      <c r="E210" s="49">
        <v>180127026</v>
      </c>
      <c r="F210" s="49">
        <v>26.2</v>
      </c>
      <c r="G210" s="49">
        <v>1</v>
      </c>
      <c r="H210" s="49">
        <v>9</v>
      </c>
      <c r="I210" s="49">
        <v>2</v>
      </c>
      <c r="J210" s="49">
        <v>4</v>
      </c>
      <c r="K210" s="49">
        <v>17820</v>
      </c>
      <c r="L210" s="49">
        <v>4480</v>
      </c>
      <c r="M210" s="49">
        <v>0</v>
      </c>
      <c r="N210" s="49">
        <v>13340</v>
      </c>
      <c r="O210" s="49">
        <v>0</v>
      </c>
      <c r="P210" s="49">
        <v>1953</v>
      </c>
      <c r="Q210" s="49">
        <v>0</v>
      </c>
      <c r="R210" s="49">
        <v>11387</v>
      </c>
      <c r="S210" s="49">
        <v>1.72</v>
      </c>
      <c r="T210" s="49">
        <v>19585.64</v>
      </c>
      <c r="X210" s="49" t="s">
        <v>474</v>
      </c>
      <c r="Y210" s="49" t="s">
        <v>475</v>
      </c>
      <c r="Z210" s="49" t="s">
        <v>476</v>
      </c>
      <c r="AA210" s="49" t="s">
        <v>689</v>
      </c>
      <c r="AB210" s="101" t="s">
        <v>690</v>
      </c>
    </row>
    <row r="211" spans="2:28" s="49" customFormat="1" x14ac:dyDescent="0.15">
      <c r="B211" s="136" t="s">
        <v>957</v>
      </c>
      <c r="C211" s="113">
        <v>43127.795138888891</v>
      </c>
      <c r="D211" s="49" t="s">
        <v>280</v>
      </c>
      <c r="E211" s="49">
        <v>180127028</v>
      </c>
      <c r="F211" s="49">
        <v>25.1</v>
      </c>
      <c r="G211" s="49">
        <v>1</v>
      </c>
      <c r="H211" s="49">
        <v>8</v>
      </c>
      <c r="I211" s="49">
        <v>0</v>
      </c>
      <c r="J211" s="49">
        <v>3</v>
      </c>
      <c r="K211" s="49">
        <v>30670</v>
      </c>
      <c r="L211" s="49">
        <v>6980</v>
      </c>
      <c r="M211" s="49">
        <v>0</v>
      </c>
      <c r="N211" s="49">
        <v>23690</v>
      </c>
      <c r="O211" s="49">
        <v>0</v>
      </c>
      <c r="P211" s="49">
        <v>3156</v>
      </c>
      <c r="Q211" s="49">
        <v>0</v>
      </c>
      <c r="R211" s="49">
        <v>20534</v>
      </c>
      <c r="S211" s="49">
        <v>1.72</v>
      </c>
      <c r="T211" s="49">
        <v>35318.479999999996</v>
      </c>
      <c r="X211" s="49" t="s">
        <v>353</v>
      </c>
      <c r="Y211" s="49" t="s">
        <v>354</v>
      </c>
      <c r="Z211" s="49" t="s">
        <v>355</v>
      </c>
      <c r="AA211" s="49" t="s">
        <v>643</v>
      </c>
      <c r="AB211" s="101" t="s">
        <v>661</v>
      </c>
    </row>
    <row r="212" spans="2:28" s="49" customFormat="1" x14ac:dyDescent="0.15">
      <c r="B212" s="136" t="s">
        <v>957</v>
      </c>
      <c r="C212" s="113">
        <v>43127.807638888888</v>
      </c>
      <c r="D212" s="49" t="s">
        <v>398</v>
      </c>
      <c r="E212" s="49">
        <v>180127027</v>
      </c>
      <c r="F212" s="49">
        <v>29.2</v>
      </c>
      <c r="G212" s="49">
        <v>1</v>
      </c>
      <c r="H212" s="49">
        <v>9</v>
      </c>
      <c r="I212" s="49">
        <v>0</v>
      </c>
      <c r="J212" s="49">
        <v>4</v>
      </c>
      <c r="K212" s="49">
        <v>34790</v>
      </c>
      <c r="L212" s="49">
        <v>7890</v>
      </c>
      <c r="M212" s="49">
        <v>0</v>
      </c>
      <c r="N212" s="49">
        <v>26900</v>
      </c>
      <c r="O212" s="49">
        <v>0</v>
      </c>
      <c r="P212" s="49">
        <v>4907</v>
      </c>
      <c r="Q212" s="49">
        <v>0</v>
      </c>
      <c r="R212" s="49">
        <v>21993</v>
      </c>
      <c r="S212" s="49">
        <v>1.72</v>
      </c>
      <c r="T212" s="49">
        <v>37827.96</v>
      </c>
      <c r="X212" s="49" t="s">
        <v>493</v>
      </c>
      <c r="Y212" s="49" t="s">
        <v>494</v>
      </c>
      <c r="Z212" s="49" t="s">
        <v>495</v>
      </c>
      <c r="AA212" s="49" t="s">
        <v>643</v>
      </c>
      <c r="AB212" s="101" t="s">
        <v>696</v>
      </c>
    </row>
    <row r="213" spans="2:28" s="49" customFormat="1" x14ac:dyDescent="0.15">
      <c r="B213" s="136" t="s">
        <v>957</v>
      </c>
      <c r="C213" s="113">
        <v>43127.813194444447</v>
      </c>
      <c r="D213" s="49" t="s">
        <v>427</v>
      </c>
      <c r="E213" s="49">
        <v>180127015</v>
      </c>
      <c r="F213" s="49">
        <v>29</v>
      </c>
      <c r="G213" s="49">
        <v>2.5</v>
      </c>
      <c r="H213" s="49">
        <v>8</v>
      </c>
      <c r="I213" s="49">
        <v>0</v>
      </c>
      <c r="J213" s="49">
        <v>3</v>
      </c>
      <c r="K213" s="49">
        <v>89960</v>
      </c>
      <c r="L213" s="49">
        <v>18440</v>
      </c>
      <c r="M213" s="49">
        <v>1073</v>
      </c>
      <c r="N213" s="49">
        <v>71520</v>
      </c>
      <c r="O213" s="49">
        <v>0</v>
      </c>
      <c r="P213" s="49">
        <v>12874</v>
      </c>
      <c r="Q213" s="49">
        <v>0</v>
      </c>
      <c r="R213" s="49">
        <v>57573</v>
      </c>
      <c r="S213" s="49">
        <v>1.72</v>
      </c>
      <c r="T213" s="49">
        <v>99025.56</v>
      </c>
      <c r="X213" s="49" t="s">
        <v>390</v>
      </c>
      <c r="Y213" s="49" t="s">
        <v>391</v>
      </c>
      <c r="Z213" s="49" t="s">
        <v>392</v>
      </c>
      <c r="AA213" s="49" t="s">
        <v>670</v>
      </c>
      <c r="AB213" s="101" t="s">
        <v>671</v>
      </c>
    </row>
    <row r="214" spans="2:28" s="49" customFormat="1" x14ac:dyDescent="0.15">
      <c r="B214" s="136" t="s">
        <v>957</v>
      </c>
      <c r="C214" s="113">
        <v>43127.818055555559</v>
      </c>
      <c r="D214" s="49" t="s">
        <v>486</v>
      </c>
      <c r="E214" s="49">
        <v>180127013</v>
      </c>
      <c r="F214" s="49">
        <v>29.2</v>
      </c>
      <c r="G214" s="49">
        <v>1</v>
      </c>
      <c r="H214" s="49">
        <v>8</v>
      </c>
      <c r="I214" s="49">
        <v>0</v>
      </c>
      <c r="J214" s="49">
        <v>3</v>
      </c>
      <c r="K214" s="49">
        <v>86010</v>
      </c>
      <c r="L214" s="49">
        <v>18760</v>
      </c>
      <c r="M214" s="49">
        <v>0</v>
      </c>
      <c r="N214" s="49">
        <v>67250</v>
      </c>
      <c r="O214" s="49">
        <v>0</v>
      </c>
      <c r="P214" s="49">
        <v>12266</v>
      </c>
      <c r="Q214" s="49">
        <v>0</v>
      </c>
      <c r="R214" s="49">
        <v>54984</v>
      </c>
      <c r="S214" s="49">
        <v>1.72</v>
      </c>
      <c r="T214" s="49">
        <v>94572.479999999996</v>
      </c>
      <c r="X214" s="49" t="s">
        <v>390</v>
      </c>
      <c r="Y214" s="49" t="s">
        <v>391</v>
      </c>
      <c r="Z214" s="49" t="s">
        <v>392</v>
      </c>
      <c r="AA214" s="49" t="s">
        <v>670</v>
      </c>
      <c r="AB214" s="101" t="s">
        <v>671</v>
      </c>
    </row>
    <row r="215" spans="2:28" s="49" customFormat="1" x14ac:dyDescent="0.15">
      <c r="B215" s="136" t="s">
        <v>957</v>
      </c>
      <c r="C215" s="113" t="s">
        <v>679</v>
      </c>
      <c r="AB215" s="101"/>
    </row>
    <row r="216" spans="2:28" s="49" customFormat="1" x14ac:dyDescent="0.15">
      <c r="B216" s="136" t="s">
        <v>957</v>
      </c>
      <c r="C216" s="113">
        <v>43127.852083333331</v>
      </c>
      <c r="D216" s="49" t="s">
        <v>498</v>
      </c>
      <c r="E216" s="49">
        <v>180127023</v>
      </c>
      <c r="F216" s="49">
        <v>30</v>
      </c>
      <c r="G216" s="49">
        <v>1</v>
      </c>
      <c r="H216" s="49">
        <v>8</v>
      </c>
      <c r="I216" s="49">
        <v>0</v>
      </c>
      <c r="J216" s="49">
        <v>3</v>
      </c>
      <c r="K216" s="49">
        <v>80970</v>
      </c>
      <c r="L216" s="49">
        <v>18120</v>
      </c>
      <c r="M216" s="49">
        <v>0</v>
      </c>
      <c r="N216" s="49">
        <v>62850</v>
      </c>
      <c r="O216" s="49">
        <v>0</v>
      </c>
      <c r="P216" s="49">
        <v>12067</v>
      </c>
      <c r="Q216" s="49">
        <v>0</v>
      </c>
      <c r="R216" s="49">
        <v>50783</v>
      </c>
      <c r="S216" s="49">
        <v>1.72</v>
      </c>
      <c r="T216" s="49">
        <v>87346.76</v>
      </c>
      <c r="X216" s="49" t="s">
        <v>390</v>
      </c>
      <c r="Y216" s="49" t="s">
        <v>391</v>
      </c>
      <c r="Z216" s="49" t="s">
        <v>697</v>
      </c>
      <c r="AA216" s="49" t="s">
        <v>670</v>
      </c>
      <c r="AB216" s="101" t="s">
        <v>671</v>
      </c>
    </row>
    <row r="217" spans="2:28" s="49" customFormat="1" x14ac:dyDescent="0.15">
      <c r="B217" s="136" t="s">
        <v>957</v>
      </c>
      <c r="C217" s="113">
        <v>43127.868750000001</v>
      </c>
      <c r="D217" s="49" t="s">
        <v>499</v>
      </c>
      <c r="E217" s="49">
        <v>180127024</v>
      </c>
      <c r="F217" s="49">
        <v>30</v>
      </c>
      <c r="G217" s="49">
        <v>1</v>
      </c>
      <c r="H217" s="49">
        <v>8</v>
      </c>
      <c r="I217" s="49">
        <v>0</v>
      </c>
      <c r="J217" s="49">
        <v>3</v>
      </c>
      <c r="K217" s="49">
        <v>78960</v>
      </c>
      <c r="L217" s="49">
        <v>18240</v>
      </c>
      <c r="M217" s="49">
        <v>0</v>
      </c>
      <c r="N217" s="49">
        <v>60720</v>
      </c>
      <c r="O217" s="49">
        <v>0</v>
      </c>
      <c r="P217" s="49">
        <v>11658</v>
      </c>
      <c r="Q217" s="49">
        <v>0</v>
      </c>
      <c r="R217" s="49">
        <v>49062</v>
      </c>
      <c r="S217" s="49">
        <v>1.72</v>
      </c>
      <c r="T217" s="49">
        <v>84386.64</v>
      </c>
      <c r="X217" s="49" t="s">
        <v>390</v>
      </c>
      <c r="Y217" s="49" t="s">
        <v>391</v>
      </c>
      <c r="Z217" s="49" t="s">
        <v>392</v>
      </c>
      <c r="AA217" s="49" t="s">
        <v>670</v>
      </c>
      <c r="AB217" s="101" t="s">
        <v>671</v>
      </c>
    </row>
    <row r="218" spans="2:28" s="49" customFormat="1" x14ac:dyDescent="0.15">
      <c r="B218" s="136" t="s">
        <v>957</v>
      </c>
      <c r="C218" s="113">
        <v>43127.877083333333</v>
      </c>
      <c r="D218" s="49" t="s">
        <v>500</v>
      </c>
      <c r="E218" s="49">
        <v>180127025</v>
      </c>
      <c r="F218" s="49">
        <v>30.5</v>
      </c>
      <c r="G218" s="49">
        <v>1.2</v>
      </c>
      <c r="H218" s="49">
        <v>8</v>
      </c>
      <c r="I218" s="49">
        <v>0</v>
      </c>
      <c r="J218" s="49">
        <v>3</v>
      </c>
      <c r="K218" s="49">
        <v>89270</v>
      </c>
      <c r="L218" s="49">
        <v>20290</v>
      </c>
      <c r="M218" s="49">
        <v>138</v>
      </c>
      <c r="N218" s="49">
        <v>68980</v>
      </c>
      <c r="O218" s="49">
        <v>0</v>
      </c>
      <c r="P218" s="49">
        <v>13658</v>
      </c>
      <c r="Q218" s="49">
        <v>0</v>
      </c>
      <c r="R218" s="49">
        <v>55184</v>
      </c>
      <c r="S218" s="49">
        <v>1.72</v>
      </c>
      <c r="T218" s="49">
        <v>94916.479999999996</v>
      </c>
      <c r="X218" s="49" t="s">
        <v>390</v>
      </c>
      <c r="Y218" s="49" t="s">
        <v>391</v>
      </c>
      <c r="Z218" s="49" t="s">
        <v>392</v>
      </c>
      <c r="AA218" s="49" t="s">
        <v>670</v>
      </c>
      <c r="AB218" s="101" t="s">
        <v>671</v>
      </c>
    </row>
    <row r="219" spans="2:28" s="49" customFormat="1" x14ac:dyDescent="0.15">
      <c r="B219" s="136" t="s">
        <v>957</v>
      </c>
      <c r="C219" s="113">
        <v>43128.409722222219</v>
      </c>
      <c r="D219" s="49" t="s">
        <v>433</v>
      </c>
      <c r="E219" s="49">
        <v>180128003</v>
      </c>
      <c r="F219" s="49">
        <v>29</v>
      </c>
      <c r="G219" s="49">
        <v>1</v>
      </c>
      <c r="H219" s="49">
        <v>7</v>
      </c>
      <c r="I219" s="49">
        <v>0</v>
      </c>
      <c r="J219" s="49">
        <v>2</v>
      </c>
      <c r="K219" s="49">
        <v>64340</v>
      </c>
      <c r="L219" s="49">
        <v>17080</v>
      </c>
      <c r="M219" s="49">
        <v>0</v>
      </c>
      <c r="N219" s="49">
        <v>47260</v>
      </c>
      <c r="O219" s="49">
        <v>0</v>
      </c>
      <c r="P219" s="49">
        <v>8507</v>
      </c>
      <c r="Q219" s="49">
        <v>0</v>
      </c>
      <c r="R219" s="49">
        <v>38753</v>
      </c>
      <c r="S219" s="49">
        <v>1.72</v>
      </c>
      <c r="T219" s="49">
        <v>66655.16</v>
      </c>
      <c r="X219" s="49" t="s">
        <v>434</v>
      </c>
      <c r="Y219" s="49" t="s">
        <v>435</v>
      </c>
      <c r="Z219" s="49" t="s">
        <v>436</v>
      </c>
      <c r="AA219" s="49" t="s">
        <v>698</v>
      </c>
      <c r="AB219" s="101" t="s">
        <v>680</v>
      </c>
    </row>
    <row r="220" spans="2:28" s="49" customFormat="1" x14ac:dyDescent="0.15">
      <c r="B220" s="136" t="s">
        <v>957</v>
      </c>
      <c r="C220" s="113">
        <v>43128.413888888892</v>
      </c>
      <c r="D220" s="49" t="s">
        <v>389</v>
      </c>
      <c r="E220" s="49">
        <v>180128004</v>
      </c>
      <c r="F220" s="49">
        <v>24.3</v>
      </c>
      <c r="G220" s="49">
        <v>1</v>
      </c>
      <c r="H220" s="49">
        <v>8</v>
      </c>
      <c r="I220" s="49">
        <v>0</v>
      </c>
      <c r="J220" s="49">
        <v>3</v>
      </c>
      <c r="K220" s="49">
        <v>65080</v>
      </c>
      <c r="L220" s="49">
        <v>16730</v>
      </c>
      <c r="M220" s="49">
        <v>0</v>
      </c>
      <c r="N220" s="49">
        <v>48350</v>
      </c>
      <c r="O220" s="49">
        <v>0</v>
      </c>
      <c r="P220" s="49">
        <v>5976</v>
      </c>
      <c r="Q220" s="49">
        <v>0</v>
      </c>
      <c r="R220" s="49">
        <v>42374</v>
      </c>
      <c r="S220" s="49">
        <v>1.72</v>
      </c>
      <c r="T220" s="49">
        <v>72883.28</v>
      </c>
      <c r="X220" s="49" t="s">
        <v>386</v>
      </c>
      <c r="Y220" s="49" t="s">
        <v>387</v>
      </c>
      <c r="Z220" s="49" t="s">
        <v>388</v>
      </c>
      <c r="AA220" s="49" t="s">
        <v>668</v>
      </c>
      <c r="AB220" s="101" t="s">
        <v>669</v>
      </c>
    </row>
    <row r="221" spans="2:28" s="49" customFormat="1" x14ac:dyDescent="0.15">
      <c r="B221" s="136" t="s">
        <v>957</v>
      </c>
      <c r="C221" s="113">
        <v>43128.443055555559</v>
      </c>
      <c r="D221" s="49" t="s">
        <v>504</v>
      </c>
      <c r="E221" s="49">
        <v>180128005</v>
      </c>
      <c r="F221" s="49">
        <v>27.6</v>
      </c>
      <c r="G221" s="49">
        <v>1</v>
      </c>
      <c r="H221" s="49">
        <v>8</v>
      </c>
      <c r="I221" s="49">
        <v>0</v>
      </c>
      <c r="J221" s="49">
        <v>3</v>
      </c>
      <c r="K221" s="49">
        <v>41910</v>
      </c>
      <c r="L221" s="49">
        <v>9940</v>
      </c>
      <c r="M221" s="49">
        <v>0</v>
      </c>
      <c r="N221" s="49">
        <v>31970</v>
      </c>
      <c r="O221" s="49">
        <v>0</v>
      </c>
      <c r="P221" s="49">
        <v>5218</v>
      </c>
      <c r="Q221" s="49">
        <v>0</v>
      </c>
      <c r="R221" s="49">
        <v>26752</v>
      </c>
      <c r="S221" s="49">
        <v>1.72</v>
      </c>
      <c r="T221" s="49">
        <v>46013.440000000002</v>
      </c>
      <c r="X221" s="49" t="s">
        <v>501</v>
      </c>
      <c r="Y221" s="49" t="s">
        <v>502</v>
      </c>
      <c r="Z221" s="49" t="s">
        <v>503</v>
      </c>
      <c r="AA221" s="49" t="s">
        <v>698</v>
      </c>
      <c r="AB221" s="101" t="s">
        <v>699</v>
      </c>
    </row>
    <row r="222" spans="2:28" s="49" customFormat="1" x14ac:dyDescent="0.15">
      <c r="B222" s="136" t="s">
        <v>957</v>
      </c>
      <c r="C222" s="113">
        <v>43128.456250000003</v>
      </c>
      <c r="D222" s="49" t="s">
        <v>519</v>
      </c>
      <c r="E222" s="49">
        <v>180128016</v>
      </c>
      <c r="F222" s="49">
        <v>24.6</v>
      </c>
      <c r="G222" s="49">
        <v>1</v>
      </c>
      <c r="H222" s="49">
        <v>7</v>
      </c>
      <c r="I222" s="49">
        <v>0</v>
      </c>
      <c r="J222" s="49">
        <v>2</v>
      </c>
      <c r="K222" s="49">
        <v>31890</v>
      </c>
      <c r="L222" s="49">
        <v>10350</v>
      </c>
      <c r="M222" s="49">
        <v>0</v>
      </c>
      <c r="N222" s="49">
        <v>21540</v>
      </c>
      <c r="O222" s="49">
        <v>0</v>
      </c>
      <c r="P222" s="49">
        <v>2740</v>
      </c>
      <c r="Q222" s="49">
        <v>0</v>
      </c>
      <c r="R222" s="49">
        <v>18800</v>
      </c>
      <c r="S222" s="49">
        <v>1.72</v>
      </c>
      <c r="T222" s="49">
        <v>32336</v>
      </c>
      <c r="X222" s="49" t="s">
        <v>518</v>
      </c>
      <c r="Y222" s="49" t="s">
        <v>339</v>
      </c>
      <c r="Z222" s="49" t="s">
        <v>340</v>
      </c>
      <c r="AA222" s="49" t="s">
        <v>643</v>
      </c>
      <c r="AB222" s="101" t="s">
        <v>658</v>
      </c>
    </row>
    <row r="223" spans="2:28" s="49" customFormat="1" x14ac:dyDescent="0.15">
      <c r="B223" s="136" t="s">
        <v>957</v>
      </c>
      <c r="C223" s="113">
        <v>43128.477083333331</v>
      </c>
      <c r="D223" s="49" t="s">
        <v>509</v>
      </c>
      <c r="E223" s="49">
        <v>180128007</v>
      </c>
      <c r="F223" s="49">
        <v>27.3</v>
      </c>
      <c r="G223" s="49">
        <v>1</v>
      </c>
      <c r="H223" s="49">
        <v>8</v>
      </c>
      <c r="I223" s="49">
        <v>0</v>
      </c>
      <c r="J223" s="49">
        <v>3</v>
      </c>
      <c r="K223" s="49">
        <v>83030</v>
      </c>
      <c r="L223" s="49">
        <v>17300</v>
      </c>
      <c r="M223" s="49">
        <v>0</v>
      </c>
      <c r="N223" s="49">
        <v>65730</v>
      </c>
      <c r="O223" s="49">
        <v>0</v>
      </c>
      <c r="P223" s="49">
        <v>10491</v>
      </c>
      <c r="Q223" s="49">
        <v>0</v>
      </c>
      <c r="R223" s="49">
        <v>55239</v>
      </c>
      <c r="S223" s="49">
        <v>1.72</v>
      </c>
      <c r="T223" s="49">
        <v>95011.08</v>
      </c>
      <c r="X223" s="49" t="s">
        <v>506</v>
      </c>
      <c r="Y223" s="49" t="s">
        <v>507</v>
      </c>
      <c r="Z223" s="49" t="s">
        <v>508</v>
      </c>
      <c r="AA223" s="49" t="s">
        <v>643</v>
      </c>
      <c r="AB223" s="101" t="s">
        <v>700</v>
      </c>
    </row>
    <row r="224" spans="2:28" s="49" customFormat="1" x14ac:dyDescent="0.15">
      <c r="B224" s="136" t="s">
        <v>957</v>
      </c>
      <c r="C224" s="113">
        <v>43128.488888888889</v>
      </c>
      <c r="D224" s="49" t="s">
        <v>513</v>
      </c>
      <c r="E224" s="49">
        <v>180128009</v>
      </c>
      <c r="F224" s="49">
        <v>25.3</v>
      </c>
      <c r="G224" s="49">
        <v>1</v>
      </c>
      <c r="H224" s="49">
        <v>9</v>
      </c>
      <c r="I224" s="49">
        <v>2</v>
      </c>
      <c r="J224" s="49">
        <v>4</v>
      </c>
      <c r="K224" s="49">
        <v>69570</v>
      </c>
      <c r="L224" s="49">
        <v>21070</v>
      </c>
      <c r="M224" s="49">
        <v>0</v>
      </c>
      <c r="N224" s="49">
        <v>48500</v>
      </c>
      <c r="O224" s="49">
        <v>0</v>
      </c>
      <c r="P224" s="49">
        <v>6577</v>
      </c>
      <c r="Q224" s="49">
        <v>0</v>
      </c>
      <c r="R224" s="49">
        <v>41923</v>
      </c>
      <c r="S224" s="49">
        <v>1.72</v>
      </c>
      <c r="T224" s="49">
        <v>72107.56</v>
      </c>
      <c r="X224" s="49" t="s">
        <v>510</v>
      </c>
      <c r="Y224" s="49" t="s">
        <v>511</v>
      </c>
      <c r="Z224" s="49" t="s">
        <v>512</v>
      </c>
      <c r="AA224" s="49" t="s">
        <v>665</v>
      </c>
      <c r="AB224" s="101" t="s">
        <v>701</v>
      </c>
    </row>
    <row r="225" spans="2:28" s="49" customFormat="1" x14ac:dyDescent="0.15">
      <c r="B225" s="136" t="s">
        <v>957</v>
      </c>
      <c r="C225" s="113">
        <v>43128.495138888888</v>
      </c>
      <c r="D225" s="49" t="s">
        <v>505</v>
      </c>
      <c r="E225" s="49">
        <v>180128008</v>
      </c>
      <c r="F225" s="49">
        <v>29.2</v>
      </c>
      <c r="G225" s="49">
        <v>1</v>
      </c>
      <c r="H225" s="49">
        <v>8</v>
      </c>
      <c r="I225" s="49">
        <v>0</v>
      </c>
      <c r="J225" s="49">
        <v>3</v>
      </c>
      <c r="K225" s="49">
        <v>52520</v>
      </c>
      <c r="L225" s="49">
        <v>12200</v>
      </c>
      <c r="M225" s="49">
        <v>0</v>
      </c>
      <c r="N225" s="49">
        <v>40320</v>
      </c>
      <c r="O225" s="49">
        <v>0</v>
      </c>
      <c r="P225" s="49">
        <v>7354</v>
      </c>
      <c r="Q225" s="49">
        <v>0</v>
      </c>
      <c r="R225" s="49">
        <v>32966</v>
      </c>
      <c r="S225" s="49">
        <v>1.72</v>
      </c>
      <c r="T225" s="49">
        <v>56701.52</v>
      </c>
      <c r="X225" s="49" t="s">
        <v>520</v>
      </c>
      <c r="Y225" s="49" t="s">
        <v>502</v>
      </c>
      <c r="Z225" s="49" t="s">
        <v>521</v>
      </c>
      <c r="AA225" s="49" t="s">
        <v>698</v>
      </c>
      <c r="AB225" s="101" t="s">
        <v>699</v>
      </c>
    </row>
    <row r="226" spans="2:28" s="49" customFormat="1" x14ac:dyDescent="0.15">
      <c r="B226" s="136" t="s">
        <v>957</v>
      </c>
      <c r="C226" s="113">
        <v>43128.509027777778</v>
      </c>
      <c r="D226" s="49" t="s">
        <v>165</v>
      </c>
      <c r="E226" s="49">
        <v>180128020</v>
      </c>
      <c r="F226" s="49">
        <v>28.5</v>
      </c>
      <c r="G226" s="49">
        <v>1</v>
      </c>
      <c r="H226" s="49">
        <v>9</v>
      </c>
      <c r="I226" s="49">
        <v>2</v>
      </c>
      <c r="J226" s="49">
        <v>4</v>
      </c>
      <c r="K226" s="49">
        <v>25530</v>
      </c>
      <c r="L226" s="49">
        <v>11120</v>
      </c>
      <c r="M226" s="49">
        <v>0</v>
      </c>
      <c r="N226" s="49">
        <v>14410</v>
      </c>
      <c r="O226" s="49">
        <v>0</v>
      </c>
      <c r="P226" s="49">
        <v>2507</v>
      </c>
      <c r="Q226" s="49">
        <v>0</v>
      </c>
      <c r="R226" s="49">
        <v>11903</v>
      </c>
      <c r="S226" s="49">
        <v>1.72</v>
      </c>
      <c r="T226" s="49">
        <v>20473.16</v>
      </c>
      <c r="X226" s="49" t="s">
        <v>493</v>
      </c>
      <c r="Y226" s="49" t="s">
        <v>494</v>
      </c>
      <c r="Z226" s="49" t="s">
        <v>495</v>
      </c>
      <c r="AA226" s="49" t="s">
        <v>643</v>
      </c>
      <c r="AB226" s="101" t="s">
        <v>696</v>
      </c>
    </row>
    <row r="227" spans="2:28" s="49" customFormat="1" x14ac:dyDescent="0.15">
      <c r="B227" s="136" t="s">
        <v>957</v>
      </c>
      <c r="C227" s="113">
        <v>43128.535416666666</v>
      </c>
      <c r="D227" s="49" t="s">
        <v>517</v>
      </c>
      <c r="E227" s="49">
        <v>180128010</v>
      </c>
      <c r="F227" s="49">
        <v>24.5</v>
      </c>
      <c r="G227" s="49">
        <v>1</v>
      </c>
      <c r="H227" s="49">
        <v>7</v>
      </c>
      <c r="I227" s="49">
        <v>0</v>
      </c>
      <c r="J227" s="49">
        <v>2</v>
      </c>
      <c r="K227" s="49">
        <v>56040</v>
      </c>
      <c r="L227" s="49">
        <v>13020</v>
      </c>
      <c r="M227" s="49">
        <v>0</v>
      </c>
      <c r="N227" s="49">
        <v>43020</v>
      </c>
      <c r="O227" s="49">
        <v>0</v>
      </c>
      <c r="P227" s="49">
        <v>5421</v>
      </c>
      <c r="Q227" s="49">
        <v>0</v>
      </c>
      <c r="R227" s="49">
        <v>37599</v>
      </c>
      <c r="S227" s="49">
        <v>1.72</v>
      </c>
      <c r="T227" s="49">
        <v>64670.28</v>
      </c>
      <c r="X227" s="49" t="s">
        <v>514</v>
      </c>
      <c r="Y227" s="49" t="s">
        <v>515</v>
      </c>
      <c r="Z227" s="49" t="s">
        <v>516</v>
      </c>
      <c r="AA227" s="49" t="s">
        <v>643</v>
      </c>
      <c r="AB227" s="101" t="s">
        <v>702</v>
      </c>
    </row>
    <row r="228" spans="2:28" s="49" customFormat="1" x14ac:dyDescent="0.15">
      <c r="B228" s="136" t="s">
        <v>957</v>
      </c>
      <c r="C228" s="113">
        <v>43128.558333333334</v>
      </c>
      <c r="D228" s="49" t="s">
        <v>440</v>
      </c>
      <c r="E228" s="49">
        <v>180128017</v>
      </c>
      <c r="F228" s="49">
        <v>25</v>
      </c>
      <c r="G228" s="49">
        <v>1</v>
      </c>
      <c r="H228" s="49">
        <v>8</v>
      </c>
      <c r="I228" s="49">
        <v>0</v>
      </c>
      <c r="J228" s="49">
        <v>3</v>
      </c>
      <c r="K228" s="49">
        <v>86800</v>
      </c>
      <c r="L228" s="49">
        <v>16850</v>
      </c>
      <c r="M228" s="49">
        <v>0</v>
      </c>
      <c r="N228" s="49">
        <v>69950</v>
      </c>
      <c r="O228" s="49">
        <v>0</v>
      </c>
      <c r="P228" s="49">
        <v>9233</v>
      </c>
      <c r="Q228" s="49">
        <v>0</v>
      </c>
      <c r="R228" s="49">
        <v>60717</v>
      </c>
      <c r="S228" s="49">
        <v>1.72</v>
      </c>
      <c r="T228" s="49">
        <v>104433.24</v>
      </c>
      <c r="X228" s="49" t="s">
        <v>469</v>
      </c>
      <c r="Y228" s="49" t="s">
        <v>470</v>
      </c>
      <c r="Z228" s="49" t="s">
        <v>471</v>
      </c>
      <c r="AA228" s="49" t="s">
        <v>643</v>
      </c>
      <c r="AB228" s="101" t="s">
        <v>688</v>
      </c>
    </row>
    <row r="229" spans="2:28" s="49" customFormat="1" x14ac:dyDescent="0.15">
      <c r="B229" s="136" t="s">
        <v>957</v>
      </c>
      <c r="C229" s="113">
        <v>43128.574305555558</v>
      </c>
      <c r="D229" s="49" t="s">
        <v>320</v>
      </c>
      <c r="E229" s="49">
        <v>180128011</v>
      </c>
      <c r="F229" s="49">
        <v>21.9</v>
      </c>
      <c r="G229" s="49">
        <v>1</v>
      </c>
      <c r="H229" s="49">
        <v>9</v>
      </c>
      <c r="I229" s="49">
        <v>0</v>
      </c>
      <c r="J229" s="49">
        <v>3</v>
      </c>
      <c r="K229" s="49">
        <v>63380</v>
      </c>
      <c r="L229" s="49">
        <v>14180</v>
      </c>
      <c r="M229" s="49">
        <v>0</v>
      </c>
      <c r="N229" s="49">
        <v>49200</v>
      </c>
      <c r="O229" s="49">
        <v>0</v>
      </c>
      <c r="P229" s="49">
        <v>4664</v>
      </c>
      <c r="Q229" s="49">
        <v>0</v>
      </c>
      <c r="R229" s="49">
        <v>44536</v>
      </c>
      <c r="S229" s="49">
        <v>1.72</v>
      </c>
      <c r="T229" s="49">
        <v>76601.919999999998</v>
      </c>
      <c r="X229" s="49" t="s">
        <v>311</v>
      </c>
      <c r="Y229" s="49" t="s">
        <v>309</v>
      </c>
      <c r="Z229" s="49" t="s">
        <v>310</v>
      </c>
      <c r="AA229" s="49" t="s">
        <v>643</v>
      </c>
      <c r="AB229" s="101" t="s">
        <v>646</v>
      </c>
    </row>
    <row r="230" spans="2:28" s="49" customFormat="1" x14ac:dyDescent="0.15">
      <c r="B230" s="136" t="s">
        <v>957</v>
      </c>
      <c r="C230" s="113">
        <v>43128.590277777781</v>
      </c>
      <c r="D230" s="49" t="s">
        <v>308</v>
      </c>
      <c r="E230" s="49">
        <v>180128012</v>
      </c>
      <c r="F230" s="49">
        <v>23.7</v>
      </c>
      <c r="G230" s="49">
        <v>1</v>
      </c>
      <c r="H230" s="49">
        <v>8</v>
      </c>
      <c r="I230" s="49">
        <v>0</v>
      </c>
      <c r="J230" s="49">
        <v>4</v>
      </c>
      <c r="K230" s="49">
        <v>64440</v>
      </c>
      <c r="L230" s="49">
        <v>16540</v>
      </c>
      <c r="M230" s="49">
        <v>0</v>
      </c>
      <c r="N230" s="49">
        <v>47900</v>
      </c>
      <c r="O230" s="49">
        <v>0</v>
      </c>
      <c r="P230" s="49">
        <v>5576</v>
      </c>
      <c r="Q230" s="49">
        <v>0</v>
      </c>
      <c r="R230" s="49">
        <v>42324</v>
      </c>
      <c r="S230" s="49">
        <v>1.72</v>
      </c>
      <c r="T230" s="49">
        <v>72797.279999999999</v>
      </c>
      <c r="X230" s="49" t="s">
        <v>311</v>
      </c>
      <c r="Y230" s="49" t="s">
        <v>309</v>
      </c>
      <c r="Z230" s="49" t="s">
        <v>310</v>
      </c>
      <c r="AA230" s="49" t="s">
        <v>643</v>
      </c>
      <c r="AB230" s="101" t="s">
        <v>646</v>
      </c>
    </row>
    <row r="231" spans="2:28" s="49" customFormat="1" x14ac:dyDescent="0.15">
      <c r="B231" s="136" t="s">
        <v>957</v>
      </c>
      <c r="C231" s="113">
        <v>43128.598611111112</v>
      </c>
      <c r="D231" s="49" t="s">
        <v>524</v>
      </c>
      <c r="E231" s="49">
        <v>180128024</v>
      </c>
      <c r="F231" s="49">
        <v>26.5</v>
      </c>
      <c r="G231" s="49">
        <v>1</v>
      </c>
      <c r="H231" s="49">
        <v>11</v>
      </c>
      <c r="I231" s="49">
        <v>3</v>
      </c>
      <c r="J231" s="49">
        <v>6</v>
      </c>
      <c r="K231" s="49">
        <v>31050</v>
      </c>
      <c r="L231" s="49">
        <v>9690</v>
      </c>
      <c r="M231" s="49">
        <v>0</v>
      </c>
      <c r="N231" s="49">
        <v>21360</v>
      </c>
      <c r="O231" s="49">
        <v>0</v>
      </c>
      <c r="P231" s="49">
        <v>3204</v>
      </c>
      <c r="Q231" s="49">
        <v>0</v>
      </c>
      <c r="R231" s="49">
        <v>18156</v>
      </c>
      <c r="S231" s="49">
        <v>1.72</v>
      </c>
      <c r="T231" s="49">
        <v>31228.32</v>
      </c>
      <c r="X231" s="49" t="s">
        <v>522</v>
      </c>
      <c r="Y231" s="49" t="s">
        <v>523</v>
      </c>
      <c r="Z231" s="49" t="s">
        <v>381</v>
      </c>
      <c r="AA231" s="49" t="s">
        <v>643</v>
      </c>
      <c r="AB231" s="101" t="s">
        <v>703</v>
      </c>
    </row>
    <row r="232" spans="2:28" s="49" customFormat="1" x14ac:dyDescent="0.15">
      <c r="B232" s="136" t="s">
        <v>957</v>
      </c>
      <c r="C232" s="113">
        <v>43128.602777777778</v>
      </c>
      <c r="D232" s="49" t="s">
        <v>184</v>
      </c>
      <c r="E232" s="49">
        <v>180128013</v>
      </c>
      <c r="F232" s="49">
        <v>33.4</v>
      </c>
      <c r="G232" s="49">
        <v>1</v>
      </c>
      <c r="H232" s="49">
        <v>8</v>
      </c>
      <c r="I232" s="49">
        <v>0</v>
      </c>
      <c r="J232" s="49">
        <v>3</v>
      </c>
      <c r="K232" s="49">
        <v>53060</v>
      </c>
      <c r="L232" s="49">
        <v>14140</v>
      </c>
      <c r="M232" s="49">
        <v>0</v>
      </c>
      <c r="N232" s="49">
        <v>38920</v>
      </c>
      <c r="O232" s="49">
        <v>0</v>
      </c>
      <c r="P232" s="49">
        <v>9061</v>
      </c>
      <c r="Q232" s="49">
        <v>0</v>
      </c>
      <c r="R232" s="49">
        <v>29859</v>
      </c>
      <c r="S232" s="49">
        <v>1.72</v>
      </c>
      <c r="T232" s="49">
        <v>51357.479999999996</v>
      </c>
      <c r="X232" s="49" t="s">
        <v>185</v>
      </c>
      <c r="Y232" s="49" t="s">
        <v>186</v>
      </c>
      <c r="Z232" s="49" t="s">
        <v>187</v>
      </c>
      <c r="AA232" s="49" t="s">
        <v>698</v>
      </c>
      <c r="AB232" s="101" t="s">
        <v>615</v>
      </c>
    </row>
    <row r="233" spans="2:28" s="49" customFormat="1" x14ac:dyDescent="0.15">
      <c r="B233" s="136" t="s">
        <v>957</v>
      </c>
      <c r="C233" s="113">
        <v>43128.606249999997</v>
      </c>
      <c r="D233" s="49" t="s">
        <v>540</v>
      </c>
      <c r="E233" s="49">
        <v>180128019</v>
      </c>
      <c r="F233" s="49">
        <v>31.5</v>
      </c>
      <c r="G233" s="49">
        <v>1</v>
      </c>
      <c r="H233" s="49">
        <v>8</v>
      </c>
      <c r="I233" s="49">
        <v>0</v>
      </c>
      <c r="J233" s="49">
        <v>3</v>
      </c>
      <c r="K233" s="49">
        <v>29600</v>
      </c>
      <c r="L233" s="49">
        <v>7170</v>
      </c>
      <c r="M233" s="49">
        <v>0</v>
      </c>
      <c r="N233" s="49">
        <v>22430</v>
      </c>
      <c r="O233" s="49">
        <v>0</v>
      </c>
      <c r="P233" s="49">
        <v>4710</v>
      </c>
      <c r="Q233" s="49">
        <v>0</v>
      </c>
      <c r="R233" s="49">
        <v>17720</v>
      </c>
      <c r="S233" s="49">
        <v>1.72</v>
      </c>
      <c r="T233" s="49">
        <v>30478.399999999998</v>
      </c>
      <c r="X233" s="49" t="s">
        <v>537</v>
      </c>
      <c r="Y233" s="49" t="s">
        <v>538</v>
      </c>
      <c r="Z233" s="49" t="s">
        <v>539</v>
      </c>
      <c r="AA233" s="49" t="s">
        <v>689</v>
      </c>
      <c r="AB233" s="101" t="s">
        <v>704</v>
      </c>
    </row>
    <row r="234" spans="2:28" s="49" customFormat="1" x14ac:dyDescent="0.15">
      <c r="B234" s="136" t="s">
        <v>957</v>
      </c>
      <c r="C234" s="113">
        <v>43128.613194444442</v>
      </c>
      <c r="D234" s="49" t="s">
        <v>525</v>
      </c>
      <c r="E234" s="49">
        <v>180128030</v>
      </c>
      <c r="F234" s="49">
        <v>29</v>
      </c>
      <c r="G234" s="49">
        <v>1</v>
      </c>
      <c r="H234" s="49">
        <v>9</v>
      </c>
      <c r="I234" s="49">
        <v>0</v>
      </c>
      <c r="J234" s="49">
        <v>3</v>
      </c>
      <c r="K234" s="49">
        <v>29750</v>
      </c>
      <c r="L234" s="49">
        <v>9290</v>
      </c>
      <c r="M234" s="49">
        <v>0</v>
      </c>
      <c r="N234" s="49">
        <v>20460</v>
      </c>
      <c r="O234" s="49">
        <v>0</v>
      </c>
      <c r="P234" s="49">
        <v>3683</v>
      </c>
      <c r="Q234" s="49">
        <v>0</v>
      </c>
      <c r="R234" s="49">
        <v>16777</v>
      </c>
      <c r="S234" s="49">
        <v>1.72</v>
      </c>
      <c r="T234" s="49">
        <v>28856.44</v>
      </c>
      <c r="X234" s="49" t="s">
        <v>228</v>
      </c>
      <c r="Y234" s="49" t="s">
        <v>229</v>
      </c>
      <c r="Z234" s="49" t="s">
        <v>230</v>
      </c>
      <c r="AA234" s="49" t="s">
        <v>643</v>
      </c>
      <c r="AB234" s="101" t="s">
        <v>623</v>
      </c>
    </row>
    <row r="235" spans="2:28" s="49" customFormat="1" x14ac:dyDescent="0.15">
      <c r="B235" s="136" t="s">
        <v>957</v>
      </c>
      <c r="C235" s="113">
        <v>43128.627083333333</v>
      </c>
      <c r="D235" s="49" t="s">
        <v>492</v>
      </c>
      <c r="E235" s="49">
        <v>180128023</v>
      </c>
      <c r="F235" s="49">
        <v>29.6</v>
      </c>
      <c r="G235" s="49">
        <v>1</v>
      </c>
      <c r="H235" s="49">
        <v>11</v>
      </c>
      <c r="I235" s="49">
        <v>3</v>
      </c>
      <c r="J235" s="49">
        <v>8</v>
      </c>
      <c r="K235" s="49">
        <v>34590</v>
      </c>
      <c r="L235" s="49">
        <v>9100</v>
      </c>
      <c r="M235" s="49">
        <v>0</v>
      </c>
      <c r="N235" s="49">
        <v>25490</v>
      </c>
      <c r="O235" s="49">
        <v>0</v>
      </c>
      <c r="P235" s="49">
        <v>4772</v>
      </c>
      <c r="Q235" s="49">
        <v>127</v>
      </c>
      <c r="R235" s="49">
        <v>20591</v>
      </c>
      <c r="S235" s="49">
        <v>1.72</v>
      </c>
      <c r="T235" s="49">
        <v>35416.519999999997</v>
      </c>
      <c r="X235" s="49" t="s">
        <v>490</v>
      </c>
      <c r="Y235" s="49" t="s">
        <v>491</v>
      </c>
      <c r="Z235" s="49" t="s">
        <v>480</v>
      </c>
      <c r="AA235" s="49" t="s">
        <v>643</v>
      </c>
      <c r="AB235" s="101" t="s">
        <v>695</v>
      </c>
    </row>
    <row r="236" spans="2:28" s="49" customFormat="1" x14ac:dyDescent="0.15">
      <c r="B236" s="136" t="s">
        <v>957</v>
      </c>
      <c r="C236" s="113">
        <v>43128.657638888886</v>
      </c>
      <c r="D236" s="49" t="s">
        <v>549</v>
      </c>
      <c r="E236" s="49">
        <v>180128014</v>
      </c>
      <c r="F236" s="49">
        <v>24</v>
      </c>
      <c r="G236" s="49">
        <v>1</v>
      </c>
      <c r="H236" s="49">
        <v>8</v>
      </c>
      <c r="I236" s="49">
        <v>0</v>
      </c>
      <c r="J236" s="49">
        <v>3</v>
      </c>
      <c r="K236" s="49">
        <v>77430</v>
      </c>
      <c r="L236" s="49">
        <v>16770</v>
      </c>
      <c r="M236" s="49">
        <v>0</v>
      </c>
      <c r="N236" s="49">
        <v>60660</v>
      </c>
      <c r="O236" s="49">
        <v>0</v>
      </c>
      <c r="P236" s="49">
        <v>7279</v>
      </c>
      <c r="Q236" s="49">
        <v>0</v>
      </c>
      <c r="R236" s="49">
        <v>53381</v>
      </c>
      <c r="S236" s="49">
        <v>1.72</v>
      </c>
      <c r="T236" s="49">
        <v>91815.319999999992</v>
      </c>
      <c r="X236" s="49" t="s">
        <v>547</v>
      </c>
      <c r="Y236" s="49" t="s">
        <v>548</v>
      </c>
      <c r="Z236" s="49" t="s">
        <v>533</v>
      </c>
      <c r="AA236" s="49" t="s">
        <v>643</v>
      </c>
      <c r="AB236" s="101" t="s">
        <v>705</v>
      </c>
    </row>
    <row r="237" spans="2:28" s="49" customFormat="1" x14ac:dyDescent="0.15">
      <c r="B237" s="136" t="s">
        <v>957</v>
      </c>
      <c r="C237" s="113">
        <v>43128.661111111112</v>
      </c>
      <c r="D237" s="49" t="s">
        <v>455</v>
      </c>
      <c r="E237" s="49">
        <v>180128018</v>
      </c>
      <c r="F237" s="49">
        <v>21.9</v>
      </c>
      <c r="G237" s="49">
        <v>1</v>
      </c>
      <c r="H237" s="49">
        <v>8</v>
      </c>
      <c r="I237" s="49">
        <v>0</v>
      </c>
      <c r="J237" s="49">
        <v>3</v>
      </c>
      <c r="K237" s="49">
        <v>90810</v>
      </c>
      <c r="L237" s="49">
        <v>20720</v>
      </c>
      <c r="M237" s="49">
        <v>0</v>
      </c>
      <c r="N237" s="49">
        <v>70090</v>
      </c>
      <c r="O237" s="49">
        <v>0</v>
      </c>
      <c r="P237" s="49">
        <v>6645</v>
      </c>
      <c r="Q237" s="49">
        <v>0</v>
      </c>
      <c r="R237" s="49">
        <v>63445</v>
      </c>
      <c r="S237" s="49">
        <v>1.72</v>
      </c>
      <c r="T237" s="49">
        <v>109125.4</v>
      </c>
      <c r="X237" s="49" t="s">
        <v>469</v>
      </c>
      <c r="Y237" s="49" t="s">
        <v>470</v>
      </c>
      <c r="Z237" s="49" t="s">
        <v>471</v>
      </c>
      <c r="AA237" s="49" t="s">
        <v>643</v>
      </c>
      <c r="AB237" s="101" t="s">
        <v>688</v>
      </c>
    </row>
    <row r="238" spans="2:28" s="49" customFormat="1" x14ac:dyDescent="0.15">
      <c r="B238" s="136" t="s">
        <v>957</v>
      </c>
      <c r="C238" s="113">
        <v>43128.675694444442</v>
      </c>
      <c r="D238" s="49" t="s">
        <v>481</v>
      </c>
      <c r="E238" s="49">
        <v>180128035</v>
      </c>
      <c r="F238" s="49">
        <v>32.200000000000003</v>
      </c>
      <c r="G238" s="49">
        <v>1</v>
      </c>
      <c r="H238" s="49">
        <v>8</v>
      </c>
      <c r="I238" s="49">
        <v>0</v>
      </c>
      <c r="J238" s="49">
        <v>3</v>
      </c>
      <c r="K238" s="49">
        <v>14480</v>
      </c>
      <c r="L238" s="49">
        <v>7200</v>
      </c>
      <c r="M238" s="49">
        <v>0</v>
      </c>
      <c r="N238" s="49">
        <v>7280</v>
      </c>
      <c r="O238" s="49">
        <v>0</v>
      </c>
      <c r="P238" s="49">
        <v>1590</v>
      </c>
      <c r="Q238" s="49">
        <v>0</v>
      </c>
      <c r="R238" s="49">
        <v>5690</v>
      </c>
      <c r="S238" s="49">
        <v>1.72</v>
      </c>
      <c r="T238" s="49">
        <v>9786.7999999999993</v>
      </c>
      <c r="X238" s="49" t="s">
        <v>478</v>
      </c>
      <c r="Y238" s="49" t="s">
        <v>479</v>
      </c>
      <c r="Z238" s="49" t="s">
        <v>480</v>
      </c>
      <c r="AA238" s="49" t="s">
        <v>643</v>
      </c>
      <c r="AB238" s="101" t="s">
        <v>693</v>
      </c>
    </row>
    <row r="239" spans="2:28" s="49" customFormat="1" x14ac:dyDescent="0.15">
      <c r="B239" s="136" t="s">
        <v>957</v>
      </c>
      <c r="C239" s="113">
        <v>43128.679861111108</v>
      </c>
      <c r="D239" s="49" t="s">
        <v>550</v>
      </c>
      <c r="E239" s="49">
        <v>180128015</v>
      </c>
      <c r="F239" s="49">
        <v>22.1</v>
      </c>
      <c r="G239" s="49">
        <v>1</v>
      </c>
      <c r="H239" s="49">
        <v>8</v>
      </c>
      <c r="I239" s="49">
        <v>0</v>
      </c>
      <c r="J239" s="49">
        <v>3</v>
      </c>
      <c r="K239" s="49">
        <v>76310</v>
      </c>
      <c r="L239" s="49">
        <v>16920</v>
      </c>
      <c r="M239" s="49">
        <v>0</v>
      </c>
      <c r="N239" s="49">
        <v>59390</v>
      </c>
      <c r="O239" s="49">
        <v>0</v>
      </c>
      <c r="P239" s="49">
        <v>5773</v>
      </c>
      <c r="Q239" s="49">
        <v>0</v>
      </c>
      <c r="R239" s="49">
        <v>53617</v>
      </c>
      <c r="S239" s="49">
        <v>1.72</v>
      </c>
      <c r="T239" s="49">
        <v>92221.24</v>
      </c>
      <c r="X239" s="49" t="s">
        <v>547</v>
      </c>
      <c r="Y239" s="49" t="s">
        <v>548</v>
      </c>
      <c r="Z239" s="49" t="s">
        <v>533</v>
      </c>
      <c r="AA239" s="49" t="s">
        <v>643</v>
      </c>
      <c r="AB239" s="101" t="s">
        <v>705</v>
      </c>
    </row>
    <row r="240" spans="2:28" s="49" customFormat="1" x14ac:dyDescent="0.15">
      <c r="B240" s="136" t="s">
        <v>957</v>
      </c>
      <c r="C240" s="113">
        <v>43128.684027777781</v>
      </c>
      <c r="D240" s="49" t="s">
        <v>530</v>
      </c>
      <c r="E240" s="49">
        <v>180128031</v>
      </c>
      <c r="F240" s="49">
        <v>28</v>
      </c>
      <c r="G240" s="49">
        <v>1</v>
      </c>
      <c r="H240" s="49">
        <v>9</v>
      </c>
      <c r="I240" s="49">
        <v>2</v>
      </c>
      <c r="J240" s="49">
        <v>4</v>
      </c>
      <c r="K240" s="49">
        <v>30910</v>
      </c>
      <c r="L240" s="49">
        <v>7080</v>
      </c>
      <c r="M240" s="49">
        <v>0</v>
      </c>
      <c r="N240" s="49">
        <v>23830</v>
      </c>
      <c r="O240" s="49">
        <v>0</v>
      </c>
      <c r="P240" s="49">
        <v>4003</v>
      </c>
      <c r="Q240" s="49">
        <v>0</v>
      </c>
      <c r="R240" s="49">
        <v>19827</v>
      </c>
      <c r="S240" s="49">
        <v>1.72</v>
      </c>
      <c r="T240" s="49">
        <v>34102.44</v>
      </c>
      <c r="X240" s="49" t="s">
        <v>527</v>
      </c>
      <c r="Y240" s="49" t="s">
        <v>528</v>
      </c>
      <c r="Z240" s="49" t="s">
        <v>529</v>
      </c>
      <c r="AA240" s="49" t="s">
        <v>643</v>
      </c>
      <c r="AB240" s="101" t="s">
        <v>706</v>
      </c>
    </row>
    <row r="241" spans="2:28" s="49" customFormat="1" x14ac:dyDescent="0.15">
      <c r="B241" s="136" t="s">
        <v>957</v>
      </c>
      <c r="C241" s="113">
        <v>43128.718055555553</v>
      </c>
      <c r="D241" s="49" t="s">
        <v>428</v>
      </c>
      <c r="E241" s="49">
        <v>180128025</v>
      </c>
      <c r="F241" s="49">
        <v>28</v>
      </c>
      <c r="G241" s="49">
        <v>1</v>
      </c>
      <c r="H241" s="49">
        <v>8</v>
      </c>
      <c r="I241" s="49">
        <v>0</v>
      </c>
      <c r="J241" s="49">
        <v>3</v>
      </c>
      <c r="K241" s="49">
        <v>92740</v>
      </c>
      <c r="L241" s="49">
        <v>19600</v>
      </c>
      <c r="M241" s="49">
        <v>0</v>
      </c>
      <c r="N241" s="49">
        <v>73140</v>
      </c>
      <c r="O241" s="49">
        <v>0</v>
      </c>
      <c r="P241" s="49">
        <v>12288</v>
      </c>
      <c r="Q241" s="49">
        <v>0</v>
      </c>
      <c r="R241" s="49">
        <v>60852</v>
      </c>
      <c r="S241" s="49">
        <v>1.72</v>
      </c>
      <c r="T241" s="49">
        <v>104665.44</v>
      </c>
      <c r="X241" s="49" t="s">
        <v>390</v>
      </c>
      <c r="Y241" s="49" t="s">
        <v>391</v>
      </c>
      <c r="Z241" s="49" t="s">
        <v>392</v>
      </c>
      <c r="AA241" s="49" t="s">
        <v>670</v>
      </c>
      <c r="AB241" s="101" t="s">
        <v>671</v>
      </c>
    </row>
    <row r="242" spans="2:28" s="49" customFormat="1" x14ac:dyDescent="0.15">
      <c r="B242" s="136" t="s">
        <v>957</v>
      </c>
      <c r="C242" s="113">
        <v>43128.72152777778</v>
      </c>
      <c r="D242" s="49" t="s">
        <v>430</v>
      </c>
      <c r="E242" s="49">
        <v>180128027</v>
      </c>
      <c r="F242" s="49">
        <v>28</v>
      </c>
      <c r="G242" s="49">
        <v>1</v>
      </c>
      <c r="H242" s="49">
        <v>8</v>
      </c>
      <c r="I242" s="49">
        <v>0</v>
      </c>
      <c r="J242" s="49">
        <v>3</v>
      </c>
      <c r="K242" s="49">
        <v>91440</v>
      </c>
      <c r="L242" s="49">
        <v>19570</v>
      </c>
      <c r="M242" s="49">
        <v>0</v>
      </c>
      <c r="N242" s="49">
        <v>71870</v>
      </c>
      <c r="O242" s="49">
        <v>0</v>
      </c>
      <c r="P242" s="49">
        <v>12074</v>
      </c>
      <c r="Q242" s="49">
        <v>0</v>
      </c>
      <c r="R242" s="49">
        <v>59796</v>
      </c>
      <c r="S242" s="49">
        <v>1.72</v>
      </c>
      <c r="T242" s="49">
        <v>102849.12</v>
      </c>
      <c r="X242" s="49" t="s">
        <v>390</v>
      </c>
      <c r="Y242" s="49" t="s">
        <v>391</v>
      </c>
      <c r="Z242" s="49" t="s">
        <v>392</v>
      </c>
      <c r="AA242" s="49" t="s">
        <v>670</v>
      </c>
      <c r="AB242" s="101" t="s">
        <v>671</v>
      </c>
    </row>
    <row r="243" spans="2:28" s="49" customFormat="1" x14ac:dyDescent="0.15">
      <c r="B243" s="136" t="s">
        <v>957</v>
      </c>
      <c r="C243" s="113">
        <v>43128.743055555555</v>
      </c>
      <c r="D243" s="49" t="s">
        <v>429</v>
      </c>
      <c r="E243" s="49">
        <v>180128026</v>
      </c>
      <c r="F243" s="49">
        <v>27.9</v>
      </c>
      <c r="G243" s="49">
        <v>1</v>
      </c>
      <c r="H243" s="49">
        <v>8</v>
      </c>
      <c r="I243" s="49">
        <v>0</v>
      </c>
      <c r="J243" s="49">
        <v>3</v>
      </c>
      <c r="K243" s="49">
        <v>87500</v>
      </c>
      <c r="L243" s="49">
        <v>19650</v>
      </c>
      <c r="M243" s="49">
        <v>0</v>
      </c>
      <c r="N243" s="49">
        <v>67850</v>
      </c>
      <c r="O243" s="49">
        <v>0</v>
      </c>
      <c r="P243" s="49">
        <v>11317</v>
      </c>
      <c r="Q243" s="49">
        <v>0</v>
      </c>
      <c r="R243" s="49">
        <v>56533</v>
      </c>
      <c r="S243" s="49">
        <v>1.72</v>
      </c>
      <c r="T243" s="49">
        <v>97236.76</v>
      </c>
      <c r="X243" s="49" t="s">
        <v>390</v>
      </c>
      <c r="Y243" s="49" t="s">
        <v>391</v>
      </c>
      <c r="Z243" s="49" t="s">
        <v>392</v>
      </c>
      <c r="AA243" s="49" t="s">
        <v>670</v>
      </c>
      <c r="AB243" s="101" t="s">
        <v>671</v>
      </c>
    </row>
    <row r="244" spans="2:28" s="49" customFormat="1" x14ac:dyDescent="0.15">
      <c r="B244" s="136" t="s">
        <v>957</v>
      </c>
      <c r="C244" s="113" t="s">
        <v>568</v>
      </c>
      <c r="AB244" s="101"/>
    </row>
    <row r="245" spans="2:28" s="49" customFormat="1" x14ac:dyDescent="0.15">
      <c r="B245" s="139" t="s">
        <v>588</v>
      </c>
      <c r="C245" s="140">
        <v>43129.788194444445</v>
      </c>
      <c r="D245" s="49" t="s">
        <v>288</v>
      </c>
      <c r="E245" s="49">
        <v>180128041</v>
      </c>
      <c r="F245" s="49">
        <v>29.8</v>
      </c>
      <c r="G245" s="49">
        <v>1</v>
      </c>
      <c r="H245" s="49">
        <v>8</v>
      </c>
      <c r="I245" s="49">
        <v>0</v>
      </c>
      <c r="J245" s="49">
        <v>3</v>
      </c>
      <c r="K245" s="49">
        <v>21520</v>
      </c>
      <c r="L245" s="49">
        <v>11370</v>
      </c>
      <c r="M245" s="49">
        <v>0</v>
      </c>
      <c r="N245" s="49">
        <v>10150</v>
      </c>
      <c r="O245" s="49">
        <v>0</v>
      </c>
      <c r="P245" s="49">
        <v>1924</v>
      </c>
      <c r="Q245" s="49">
        <v>0</v>
      </c>
      <c r="R245" s="49">
        <v>8226</v>
      </c>
      <c r="S245" s="49">
        <v>1.72</v>
      </c>
      <c r="T245" s="49">
        <v>14148.72</v>
      </c>
      <c r="X245" s="49" t="s">
        <v>285</v>
      </c>
      <c r="Y245" s="49" t="s">
        <v>286</v>
      </c>
      <c r="Z245" s="49" t="s">
        <v>287</v>
      </c>
      <c r="AA245" s="49" t="s">
        <v>643</v>
      </c>
      <c r="AB245" s="101" t="s">
        <v>635</v>
      </c>
    </row>
    <row r="246" spans="2:28" s="49" customFormat="1" x14ac:dyDescent="0.15">
      <c r="B246" s="139" t="s">
        <v>588</v>
      </c>
      <c r="C246" s="140">
        <v>43129.791666666664</v>
      </c>
      <c r="D246" s="49" t="s">
        <v>546</v>
      </c>
      <c r="E246" s="49">
        <v>180128042</v>
      </c>
      <c r="F246" s="49">
        <v>33.299999999999997</v>
      </c>
      <c r="G246" s="49">
        <v>1</v>
      </c>
      <c r="H246" s="49">
        <v>8</v>
      </c>
      <c r="I246" s="49">
        <v>0</v>
      </c>
      <c r="J246" s="49">
        <v>3</v>
      </c>
      <c r="K246" s="49">
        <v>33520</v>
      </c>
      <c r="L246" s="49">
        <v>11800</v>
      </c>
      <c r="M246" s="49">
        <v>0</v>
      </c>
      <c r="N246" s="49">
        <v>21720</v>
      </c>
      <c r="O246" s="49">
        <v>0</v>
      </c>
      <c r="P246" s="49">
        <v>5030</v>
      </c>
      <c r="Q246" s="49">
        <v>0</v>
      </c>
      <c r="R246" s="49">
        <v>16690</v>
      </c>
      <c r="S246" s="49">
        <v>1.72</v>
      </c>
      <c r="T246" s="49">
        <v>28706.799999999999</v>
      </c>
      <c r="X246" s="49" t="s">
        <v>285</v>
      </c>
      <c r="Y246" s="49" t="s">
        <v>286</v>
      </c>
      <c r="Z246" s="49" t="s">
        <v>287</v>
      </c>
      <c r="AA246" s="49" t="s">
        <v>643</v>
      </c>
      <c r="AB246" s="101" t="s">
        <v>635</v>
      </c>
    </row>
    <row r="247" spans="2:28" s="49" customFormat="1" x14ac:dyDescent="0.15">
      <c r="B247" s="139" t="s">
        <v>588</v>
      </c>
      <c r="C247" s="140">
        <v>43129.79791666667</v>
      </c>
      <c r="D247" s="49" t="s">
        <v>414</v>
      </c>
      <c r="E247" s="49">
        <v>180128022</v>
      </c>
      <c r="F247" s="49">
        <v>30.4</v>
      </c>
      <c r="G247" s="49">
        <v>1</v>
      </c>
      <c r="H247" s="49">
        <v>8</v>
      </c>
      <c r="I247" s="49">
        <v>0</v>
      </c>
      <c r="J247" s="49">
        <v>3</v>
      </c>
      <c r="K247" s="49">
        <v>88440</v>
      </c>
      <c r="L247" s="49">
        <v>19510</v>
      </c>
      <c r="M247" s="49">
        <v>0</v>
      </c>
      <c r="N247" s="49">
        <v>68930</v>
      </c>
      <c r="O247" s="49">
        <v>0</v>
      </c>
      <c r="P247" s="49">
        <v>13565</v>
      </c>
      <c r="Q247" s="49">
        <v>0</v>
      </c>
      <c r="R247" s="49">
        <v>55365</v>
      </c>
      <c r="S247" s="49">
        <v>1.72</v>
      </c>
      <c r="T247" s="49">
        <v>95227.8</v>
      </c>
      <c r="X247" s="49" t="s">
        <v>390</v>
      </c>
      <c r="Y247" s="49" t="s">
        <v>391</v>
      </c>
      <c r="Z247" s="49" t="s">
        <v>392</v>
      </c>
      <c r="AA247" s="49" t="s">
        <v>670</v>
      </c>
      <c r="AB247" s="101" t="s">
        <v>671</v>
      </c>
    </row>
    <row r="248" spans="2:28" s="49" customFormat="1" x14ac:dyDescent="0.15">
      <c r="B248" s="139" t="s">
        <v>588</v>
      </c>
      <c r="C248" s="140">
        <v>43129.802777777775</v>
      </c>
      <c r="D248" s="49" t="s">
        <v>410</v>
      </c>
      <c r="E248" s="49">
        <v>180128028</v>
      </c>
      <c r="F248" s="49">
        <v>24</v>
      </c>
      <c r="G248" s="49">
        <v>1.3</v>
      </c>
      <c r="H248" s="49">
        <v>9.5</v>
      </c>
      <c r="I248" s="49">
        <v>0</v>
      </c>
      <c r="J248" s="49">
        <v>3.5</v>
      </c>
      <c r="K248" s="49">
        <v>97330</v>
      </c>
      <c r="L248" s="49">
        <v>21480</v>
      </c>
      <c r="M248" s="49">
        <v>228</v>
      </c>
      <c r="N248" s="49">
        <v>75850</v>
      </c>
      <c r="O248" s="49">
        <v>0</v>
      </c>
      <c r="P248" s="49">
        <v>9102</v>
      </c>
      <c r="Q248" s="49">
        <v>0</v>
      </c>
      <c r="R248" s="49">
        <v>66520</v>
      </c>
      <c r="S248" s="49">
        <v>1.72</v>
      </c>
      <c r="T248" s="49">
        <v>114414.39999999999</v>
      </c>
      <c r="X248" s="49" t="s">
        <v>437</v>
      </c>
      <c r="Y248" s="49" t="s">
        <v>438</v>
      </c>
      <c r="Z248" s="49" t="s">
        <v>439</v>
      </c>
      <c r="AA248" s="49" t="s">
        <v>647</v>
      </c>
      <c r="AB248" s="101" t="s">
        <v>681</v>
      </c>
    </row>
    <row r="249" spans="2:28" s="49" customFormat="1" x14ac:dyDescent="0.15">
      <c r="B249" s="139" t="s">
        <v>588</v>
      </c>
      <c r="C249" s="140">
        <v>43129.853472222225</v>
      </c>
      <c r="D249" s="49" t="s">
        <v>411</v>
      </c>
      <c r="E249" s="49">
        <v>180128029</v>
      </c>
      <c r="F249" s="49">
        <v>25.8</v>
      </c>
      <c r="G249" s="49">
        <v>1</v>
      </c>
      <c r="H249" s="49">
        <v>9</v>
      </c>
      <c r="I249" s="49">
        <v>0</v>
      </c>
      <c r="J249" s="49">
        <v>4</v>
      </c>
      <c r="K249" s="49">
        <v>92510</v>
      </c>
      <c r="L249" s="49">
        <v>21430</v>
      </c>
      <c r="M249" s="49">
        <v>0</v>
      </c>
      <c r="N249" s="49">
        <v>71080</v>
      </c>
      <c r="O249" s="49">
        <v>0</v>
      </c>
      <c r="P249" s="49">
        <v>10065</v>
      </c>
      <c r="Q249" s="49">
        <v>0</v>
      </c>
      <c r="R249" s="49">
        <v>61015</v>
      </c>
      <c r="S249" s="49">
        <v>1.72</v>
      </c>
      <c r="T249" s="49">
        <v>104945.8</v>
      </c>
      <c r="X249" s="49" t="s">
        <v>437</v>
      </c>
      <c r="Y249" s="49" t="s">
        <v>438</v>
      </c>
      <c r="Z249" s="49" t="s">
        <v>439</v>
      </c>
      <c r="AA249" s="49" t="s">
        <v>647</v>
      </c>
      <c r="AB249" s="101" t="s">
        <v>681</v>
      </c>
    </row>
    <row r="250" spans="2:28" s="49" customFormat="1" x14ac:dyDescent="0.15">
      <c r="B250" s="139" t="s">
        <v>588</v>
      </c>
      <c r="C250" s="140">
        <v>43129.859027777777</v>
      </c>
      <c r="D250" s="49" t="s">
        <v>316</v>
      </c>
      <c r="E250" s="49">
        <v>180128037</v>
      </c>
      <c r="F250" s="49">
        <v>29</v>
      </c>
      <c r="G250" s="49">
        <v>1</v>
      </c>
      <c r="H250" s="49">
        <v>13</v>
      </c>
      <c r="I250" s="49">
        <v>0</v>
      </c>
      <c r="J250" s="49">
        <v>10</v>
      </c>
      <c r="K250" s="49">
        <v>32890</v>
      </c>
      <c r="L250" s="49">
        <v>7720</v>
      </c>
      <c r="M250" s="49">
        <v>0</v>
      </c>
      <c r="N250" s="49">
        <v>25170</v>
      </c>
      <c r="O250" s="49">
        <v>101</v>
      </c>
      <c r="P250" s="49">
        <v>4531</v>
      </c>
      <c r="Q250" s="49">
        <v>0</v>
      </c>
      <c r="R250" s="49">
        <v>20538</v>
      </c>
      <c r="S250" s="49">
        <v>1.72</v>
      </c>
      <c r="T250" s="49">
        <v>35325.360000000001</v>
      </c>
      <c r="X250" s="49" t="s">
        <v>314</v>
      </c>
      <c r="Y250" s="49" t="s">
        <v>315</v>
      </c>
      <c r="Z250" s="49" t="s">
        <v>139</v>
      </c>
      <c r="AA250" s="49" t="s">
        <v>689</v>
      </c>
      <c r="AB250" s="101" t="s">
        <v>653</v>
      </c>
    </row>
    <row r="251" spans="2:28" s="49" customFormat="1" x14ac:dyDescent="0.15">
      <c r="B251" s="139" t="s">
        <v>588</v>
      </c>
      <c r="C251" s="140">
        <v>43129.865277777775</v>
      </c>
      <c r="D251" s="49" t="s">
        <v>398</v>
      </c>
      <c r="E251" s="49">
        <v>180128038</v>
      </c>
      <c r="F251" s="49">
        <v>27.3</v>
      </c>
      <c r="G251" s="49">
        <v>1</v>
      </c>
      <c r="H251" s="49">
        <v>9</v>
      </c>
      <c r="I251" s="49">
        <v>0</v>
      </c>
      <c r="J251" s="49">
        <v>4</v>
      </c>
      <c r="K251" s="49">
        <v>31990</v>
      </c>
      <c r="L251" s="49">
        <v>7870</v>
      </c>
      <c r="M251" s="49">
        <v>0</v>
      </c>
      <c r="N251" s="49">
        <v>24120</v>
      </c>
      <c r="O251" s="49">
        <v>0</v>
      </c>
      <c r="P251" s="49">
        <v>3850</v>
      </c>
      <c r="Q251" s="49">
        <v>0</v>
      </c>
      <c r="R251" s="49">
        <v>20270</v>
      </c>
      <c r="S251" s="49">
        <v>1.72</v>
      </c>
      <c r="T251" s="49">
        <v>34864.400000000001</v>
      </c>
      <c r="X251" s="49" t="s">
        <v>314</v>
      </c>
      <c r="Y251" s="49" t="s">
        <v>315</v>
      </c>
      <c r="Z251" s="49" t="s">
        <v>139</v>
      </c>
      <c r="AA251" s="49" t="s">
        <v>689</v>
      </c>
      <c r="AB251" s="101" t="s">
        <v>653</v>
      </c>
    </row>
    <row r="252" spans="2:28" s="49" customFormat="1" x14ac:dyDescent="0.15">
      <c r="B252" s="139" t="s">
        <v>588</v>
      </c>
      <c r="C252" s="140">
        <v>43129.876388888886</v>
      </c>
      <c r="D252" s="49" t="s">
        <v>553</v>
      </c>
      <c r="E252" s="49">
        <v>180128021</v>
      </c>
      <c r="F252" s="49">
        <v>30.8</v>
      </c>
      <c r="G252" s="49">
        <v>1</v>
      </c>
      <c r="H252" s="49">
        <v>8</v>
      </c>
      <c r="I252" s="49">
        <v>0</v>
      </c>
      <c r="J252" s="49">
        <v>3</v>
      </c>
      <c r="K252" s="49">
        <v>87250</v>
      </c>
      <c r="L252" s="49">
        <v>20240</v>
      </c>
      <c r="M252" s="49">
        <v>0</v>
      </c>
      <c r="N252" s="49">
        <v>67010</v>
      </c>
      <c r="O252" s="49">
        <v>0</v>
      </c>
      <c r="P252" s="49">
        <v>13509</v>
      </c>
      <c r="Q252" s="49">
        <v>0</v>
      </c>
      <c r="R252" s="49">
        <v>53501</v>
      </c>
      <c r="S252" s="49">
        <v>1.72</v>
      </c>
      <c r="T252" s="49">
        <v>92021.72</v>
      </c>
      <c r="X252" s="49" t="s">
        <v>552</v>
      </c>
      <c r="Y252" s="49" t="s">
        <v>391</v>
      </c>
      <c r="Z252" s="49" t="s">
        <v>392</v>
      </c>
      <c r="AA252" s="49" t="s">
        <v>670</v>
      </c>
      <c r="AB252" s="101" t="s">
        <v>671</v>
      </c>
    </row>
    <row r="253" spans="2:28" s="49" customFormat="1" x14ac:dyDescent="0.15">
      <c r="B253" s="139" t="s">
        <v>588</v>
      </c>
      <c r="C253" s="140">
        <v>43129.890277777777</v>
      </c>
      <c r="D253" s="49" t="s">
        <v>536</v>
      </c>
      <c r="E253" s="49">
        <v>180128034</v>
      </c>
      <c r="F253" s="49">
        <v>22.8</v>
      </c>
      <c r="G253" s="49">
        <v>1</v>
      </c>
      <c r="H253" s="49">
        <v>8</v>
      </c>
      <c r="I253" s="49">
        <v>0</v>
      </c>
      <c r="J253" s="49">
        <v>3</v>
      </c>
      <c r="K253" s="49">
        <v>63050</v>
      </c>
      <c r="L253" s="49">
        <v>15560</v>
      </c>
      <c r="M253" s="49">
        <v>0</v>
      </c>
      <c r="N253" s="49">
        <v>47490</v>
      </c>
      <c r="O253" s="49">
        <v>0</v>
      </c>
      <c r="P253" s="49">
        <v>5015</v>
      </c>
      <c r="Q253" s="49">
        <v>0</v>
      </c>
      <c r="R253" s="49">
        <v>42475</v>
      </c>
      <c r="S253" s="49">
        <v>1.72</v>
      </c>
      <c r="T253" s="49">
        <v>73057</v>
      </c>
      <c r="X253" s="49" t="s">
        <v>531</v>
      </c>
      <c r="Y253" s="49" t="s">
        <v>532</v>
      </c>
      <c r="Z253" s="49" t="s">
        <v>533</v>
      </c>
      <c r="AA253" s="49" t="s">
        <v>643</v>
      </c>
      <c r="AB253" s="101" t="s">
        <v>707</v>
      </c>
    </row>
    <row r="254" spans="2:28" s="49" customFormat="1" x14ac:dyDescent="0.15">
      <c r="B254" s="139" t="s">
        <v>588</v>
      </c>
      <c r="C254" s="140">
        <v>43129.895833333336</v>
      </c>
      <c r="D254" s="49" t="s">
        <v>534</v>
      </c>
      <c r="E254" s="49">
        <v>180128032</v>
      </c>
      <c r="F254" s="49">
        <v>23</v>
      </c>
      <c r="G254" s="49">
        <v>1</v>
      </c>
      <c r="H254" s="49">
        <v>8</v>
      </c>
      <c r="I254" s="49">
        <v>0</v>
      </c>
      <c r="J254" s="49">
        <v>3</v>
      </c>
      <c r="K254" s="49">
        <v>89810</v>
      </c>
      <c r="L254" s="49">
        <v>19640</v>
      </c>
      <c r="M254" s="49">
        <v>0</v>
      </c>
      <c r="N254" s="49">
        <v>70170</v>
      </c>
      <c r="O254" s="49">
        <v>0</v>
      </c>
      <c r="P254" s="49">
        <v>7578</v>
      </c>
      <c r="Q254" s="49">
        <v>0</v>
      </c>
      <c r="R254" s="49">
        <v>62592</v>
      </c>
      <c r="S254" s="49">
        <v>1.72</v>
      </c>
      <c r="T254" s="49">
        <v>107658.24000000001</v>
      </c>
      <c r="X254" s="49" t="s">
        <v>531</v>
      </c>
      <c r="Y254" s="49" t="s">
        <v>532</v>
      </c>
      <c r="Z254" s="49" t="s">
        <v>533</v>
      </c>
      <c r="AA254" s="49" t="s">
        <v>643</v>
      </c>
      <c r="AB254" s="101" t="s">
        <v>707</v>
      </c>
    </row>
    <row r="255" spans="2:28" s="49" customFormat="1" x14ac:dyDescent="0.15">
      <c r="B255" s="139" t="s">
        <v>588</v>
      </c>
      <c r="C255" s="140">
        <v>43129.92291666667</v>
      </c>
      <c r="D255" s="49" t="s">
        <v>535</v>
      </c>
      <c r="E255" s="49">
        <v>180128033</v>
      </c>
      <c r="F255" s="49">
        <v>20</v>
      </c>
      <c r="G255" s="49">
        <v>1</v>
      </c>
      <c r="H255" s="49">
        <v>8</v>
      </c>
      <c r="I255" s="49">
        <v>0</v>
      </c>
      <c r="J255" s="49">
        <v>3</v>
      </c>
      <c r="K255" s="49">
        <v>64960</v>
      </c>
      <c r="L255" s="49">
        <v>15950</v>
      </c>
      <c r="M255" s="49">
        <v>0</v>
      </c>
      <c r="N255" s="49">
        <v>49010</v>
      </c>
      <c r="O255" s="49">
        <v>0</v>
      </c>
      <c r="P255" s="49">
        <v>3529</v>
      </c>
      <c r="Q255" s="49">
        <v>0</v>
      </c>
      <c r="R255" s="49">
        <v>45481</v>
      </c>
      <c r="S255" s="49">
        <v>1.72</v>
      </c>
      <c r="T255" s="49">
        <v>78227.319999999992</v>
      </c>
      <c r="X255" s="49" t="s">
        <v>531</v>
      </c>
      <c r="Y255" s="49" t="s">
        <v>532</v>
      </c>
      <c r="Z255" s="49" t="s">
        <v>533</v>
      </c>
      <c r="AA255" s="49" t="s">
        <v>643</v>
      </c>
      <c r="AB255" s="101" t="s">
        <v>707</v>
      </c>
    </row>
    <row r="256" spans="2:28" s="49" customFormat="1" x14ac:dyDescent="0.15">
      <c r="B256" s="139" t="s">
        <v>588</v>
      </c>
      <c r="C256" s="140">
        <v>43129.929861111108</v>
      </c>
      <c r="D256" s="49" t="s">
        <v>544</v>
      </c>
      <c r="E256" s="49">
        <v>180128039</v>
      </c>
      <c r="F256" s="49">
        <v>25.5</v>
      </c>
      <c r="G256" s="49">
        <v>1</v>
      </c>
      <c r="H256" s="49">
        <v>8</v>
      </c>
      <c r="I256" s="49">
        <v>0</v>
      </c>
      <c r="J256" s="49">
        <v>3</v>
      </c>
      <c r="K256" s="49">
        <v>35900</v>
      </c>
      <c r="L256" s="49">
        <v>13680</v>
      </c>
      <c r="M256" s="49">
        <v>0</v>
      </c>
      <c r="N256" s="49">
        <v>22220</v>
      </c>
      <c r="O256" s="49">
        <v>0</v>
      </c>
      <c r="P256" s="49">
        <v>3066</v>
      </c>
      <c r="Q256" s="49">
        <v>0</v>
      </c>
      <c r="R256" s="49">
        <v>19154</v>
      </c>
      <c r="S256" s="49">
        <v>1.72</v>
      </c>
      <c r="T256" s="49">
        <v>32944.879999999997</v>
      </c>
      <c r="X256" s="49" t="s">
        <v>541</v>
      </c>
      <c r="Y256" s="49" t="s">
        <v>542</v>
      </c>
      <c r="Z256" s="49" t="s">
        <v>543</v>
      </c>
      <c r="AA256" s="49" t="s">
        <v>526</v>
      </c>
      <c r="AB256" s="101" t="s">
        <v>708</v>
      </c>
    </row>
    <row r="257" spans="2:28" s="49" customFormat="1" x14ac:dyDescent="0.15">
      <c r="B257" s="139" t="s">
        <v>588</v>
      </c>
      <c r="C257" s="140">
        <v>43129.970833333333</v>
      </c>
      <c r="D257" s="49" t="s">
        <v>545</v>
      </c>
      <c r="E257" s="49">
        <v>180128040</v>
      </c>
      <c r="F257" s="49">
        <v>27.9</v>
      </c>
      <c r="G257" s="49">
        <v>1</v>
      </c>
      <c r="H257" s="49">
        <v>8</v>
      </c>
      <c r="I257" s="49">
        <v>0</v>
      </c>
      <c r="J257" s="49">
        <v>3</v>
      </c>
      <c r="K257" s="49">
        <v>80020</v>
      </c>
      <c r="L257" s="49">
        <v>17590</v>
      </c>
      <c r="M257" s="49">
        <v>0</v>
      </c>
      <c r="N257" s="49">
        <v>62430</v>
      </c>
      <c r="O257" s="49">
        <v>0</v>
      </c>
      <c r="P257" s="49">
        <v>10413</v>
      </c>
      <c r="Q257" s="49">
        <v>0</v>
      </c>
      <c r="R257" s="49">
        <v>52017</v>
      </c>
      <c r="S257" s="49">
        <v>1.72</v>
      </c>
      <c r="T257" s="49">
        <v>89469.24</v>
      </c>
      <c r="X257" s="49" t="s">
        <v>205</v>
      </c>
      <c r="Y257" s="49" t="s">
        <v>206</v>
      </c>
      <c r="Z257" s="49" t="s">
        <v>207</v>
      </c>
      <c r="AA257" s="49" t="s">
        <v>526</v>
      </c>
      <c r="AB257" s="101" t="s">
        <v>617</v>
      </c>
    </row>
    <row r="258" spans="2:28" s="49" customFormat="1" x14ac:dyDescent="0.15">
      <c r="B258" s="139" t="s">
        <v>588</v>
      </c>
      <c r="C258" s="140">
        <v>43129.989583333336</v>
      </c>
      <c r="D258" s="49" t="s">
        <v>551</v>
      </c>
      <c r="E258" s="49">
        <v>180128043</v>
      </c>
      <c r="F258" s="49">
        <v>30</v>
      </c>
      <c r="G258" s="49">
        <v>1</v>
      </c>
      <c r="H258" s="49">
        <v>8</v>
      </c>
      <c r="I258" s="49">
        <v>0</v>
      </c>
      <c r="J258" s="49">
        <v>3</v>
      </c>
      <c r="K258" s="49">
        <v>87600</v>
      </c>
      <c r="L258" s="49">
        <v>20020</v>
      </c>
      <c r="M258" s="49">
        <v>0</v>
      </c>
      <c r="N258" s="49">
        <v>67580</v>
      </c>
      <c r="O258" s="49">
        <v>0</v>
      </c>
      <c r="P258" s="49">
        <v>12975</v>
      </c>
      <c r="Q258" s="49">
        <v>0</v>
      </c>
      <c r="R258" s="49">
        <v>54605</v>
      </c>
      <c r="S258" s="49">
        <v>1.72</v>
      </c>
      <c r="T258" s="49">
        <v>93920.6</v>
      </c>
      <c r="X258" s="49" t="s">
        <v>552</v>
      </c>
      <c r="Y258" s="49" t="s">
        <v>391</v>
      </c>
      <c r="Z258" s="49" t="s">
        <v>392</v>
      </c>
      <c r="AA258" s="49" t="s">
        <v>670</v>
      </c>
      <c r="AB258" s="101" t="s">
        <v>671</v>
      </c>
    </row>
    <row r="259" spans="2:28" s="49" customFormat="1" x14ac:dyDescent="0.15">
      <c r="B259" s="137"/>
      <c r="C259" s="113"/>
      <c r="AB259" s="101"/>
    </row>
    <row r="260" spans="2:28" s="49" customFormat="1" x14ac:dyDescent="0.15">
      <c r="B260" s="137" t="s">
        <v>588</v>
      </c>
      <c r="C260" s="113">
        <v>43129.427777777775</v>
      </c>
      <c r="D260" s="49" t="s">
        <v>554</v>
      </c>
      <c r="E260" s="49">
        <v>180129001</v>
      </c>
      <c r="F260" s="49">
        <v>31.1</v>
      </c>
      <c r="G260" s="49">
        <v>1.2</v>
      </c>
      <c r="H260" s="49">
        <v>8</v>
      </c>
      <c r="I260" s="49">
        <v>0</v>
      </c>
      <c r="J260" s="49">
        <v>3</v>
      </c>
      <c r="K260" s="49">
        <v>90250</v>
      </c>
      <c r="L260" s="49">
        <v>20990</v>
      </c>
      <c r="M260" s="49">
        <v>139</v>
      </c>
      <c r="N260" s="49">
        <v>69260</v>
      </c>
      <c r="O260" s="49">
        <v>0</v>
      </c>
      <c r="P260" s="49">
        <v>14212</v>
      </c>
      <c r="Q260" s="49">
        <v>0</v>
      </c>
      <c r="R260" s="49">
        <v>54909</v>
      </c>
      <c r="S260" s="49">
        <v>1.72</v>
      </c>
      <c r="T260" s="49">
        <v>94443.48</v>
      </c>
      <c r="X260" s="49" t="s">
        <v>390</v>
      </c>
      <c r="Y260" s="49" t="s">
        <v>391</v>
      </c>
      <c r="Z260" s="49" t="s">
        <v>392</v>
      </c>
      <c r="AA260" s="49" t="s">
        <v>670</v>
      </c>
      <c r="AB260" s="101" t="s">
        <v>671</v>
      </c>
    </row>
    <row r="261" spans="2:28" s="49" customFormat="1" x14ac:dyDescent="0.15">
      <c r="B261" s="137" t="s">
        <v>588</v>
      </c>
      <c r="C261" s="113">
        <v>43129.432638888888</v>
      </c>
      <c r="D261" s="49" t="s">
        <v>555</v>
      </c>
      <c r="E261" s="49">
        <v>180129002</v>
      </c>
      <c r="F261" s="49">
        <v>31</v>
      </c>
      <c r="G261" s="49">
        <v>1</v>
      </c>
      <c r="H261" s="49">
        <v>8</v>
      </c>
      <c r="I261" s="49">
        <v>0</v>
      </c>
      <c r="J261" s="49">
        <v>3</v>
      </c>
      <c r="K261" s="49">
        <v>90750</v>
      </c>
      <c r="L261" s="49">
        <v>19680</v>
      </c>
      <c r="M261" s="49">
        <v>0</v>
      </c>
      <c r="N261" s="49">
        <v>71070</v>
      </c>
      <c r="O261" s="49">
        <v>0</v>
      </c>
      <c r="P261" s="49">
        <v>14498</v>
      </c>
      <c r="Q261" s="49">
        <v>0</v>
      </c>
      <c r="R261" s="49">
        <v>56572</v>
      </c>
      <c r="S261" s="49">
        <v>1.72</v>
      </c>
      <c r="T261" s="49">
        <v>97303.84</v>
      </c>
      <c r="X261" s="49" t="s">
        <v>390</v>
      </c>
      <c r="Y261" s="49" t="s">
        <v>391</v>
      </c>
      <c r="Z261" s="49" t="s">
        <v>392</v>
      </c>
      <c r="AA261" s="49" t="s">
        <v>670</v>
      </c>
      <c r="AB261" s="101" t="s">
        <v>688</v>
      </c>
    </row>
    <row r="262" spans="2:28" s="49" customFormat="1" x14ac:dyDescent="0.15">
      <c r="B262" s="137" t="s">
        <v>588</v>
      </c>
      <c r="C262" s="113">
        <v>43129.44027777778</v>
      </c>
      <c r="D262" s="49" t="s">
        <v>556</v>
      </c>
      <c r="E262" s="49">
        <v>180129004</v>
      </c>
      <c r="F262" s="49">
        <v>23</v>
      </c>
      <c r="G262" s="49">
        <v>1.3</v>
      </c>
      <c r="H262" s="49">
        <v>9</v>
      </c>
      <c r="I262" s="49">
        <v>0</v>
      </c>
      <c r="J262" s="49">
        <v>3</v>
      </c>
      <c r="K262" s="49">
        <v>84200</v>
      </c>
      <c r="L262" s="49">
        <v>20180</v>
      </c>
      <c r="M262" s="49">
        <v>192</v>
      </c>
      <c r="N262" s="49">
        <v>64020</v>
      </c>
      <c r="O262" s="49">
        <v>0</v>
      </c>
      <c r="P262" s="49">
        <v>6914</v>
      </c>
      <c r="Q262" s="49">
        <v>0</v>
      </c>
      <c r="R262" s="49">
        <v>56914</v>
      </c>
      <c r="S262" s="49">
        <v>1.72</v>
      </c>
      <c r="T262" s="49">
        <v>97892.08</v>
      </c>
      <c r="X262" s="49" t="s">
        <v>469</v>
      </c>
      <c r="Y262" s="49" t="s">
        <v>470</v>
      </c>
      <c r="Z262" s="49" t="s">
        <v>471</v>
      </c>
      <c r="AA262" s="49" t="s">
        <v>643</v>
      </c>
      <c r="AB262" s="101" t="s">
        <v>688</v>
      </c>
    </row>
    <row r="263" spans="2:28" s="49" customFormat="1" x14ac:dyDescent="0.15">
      <c r="B263" s="137" t="s">
        <v>588</v>
      </c>
      <c r="C263" s="113">
        <v>43129.447222222225</v>
      </c>
      <c r="D263" s="49" t="s">
        <v>202</v>
      </c>
      <c r="E263" s="49">
        <v>180129009</v>
      </c>
      <c r="F263" s="49">
        <v>24.9</v>
      </c>
      <c r="G263" s="49">
        <v>1</v>
      </c>
      <c r="H263" s="49">
        <v>8</v>
      </c>
      <c r="I263" s="49">
        <v>0</v>
      </c>
      <c r="J263" s="49">
        <v>3</v>
      </c>
      <c r="K263" s="49">
        <v>81270</v>
      </c>
      <c r="L263" s="49">
        <v>17320</v>
      </c>
      <c r="M263" s="49">
        <v>0</v>
      </c>
      <c r="N263" s="49">
        <v>63950</v>
      </c>
      <c r="O263" s="49">
        <v>0</v>
      </c>
      <c r="P263" s="49">
        <v>8365</v>
      </c>
      <c r="Q263" s="49">
        <v>0</v>
      </c>
      <c r="R263" s="49">
        <v>55585</v>
      </c>
      <c r="S263" s="49">
        <v>1.72</v>
      </c>
      <c r="T263" s="49">
        <v>95606.2</v>
      </c>
      <c r="X263" s="49" t="s">
        <v>547</v>
      </c>
      <c r="Y263" s="49" t="s">
        <v>548</v>
      </c>
      <c r="Z263" s="49" t="s">
        <v>533</v>
      </c>
      <c r="AA263" s="49" t="s">
        <v>643</v>
      </c>
      <c r="AB263" s="101" t="s">
        <v>705</v>
      </c>
    </row>
    <row r="264" spans="2:28" s="49" customFormat="1" x14ac:dyDescent="0.15">
      <c r="B264" s="137" t="s">
        <v>588</v>
      </c>
      <c r="C264" s="113">
        <v>43129.491666666669</v>
      </c>
      <c r="D264" s="49" t="s">
        <v>566</v>
      </c>
      <c r="E264" s="49">
        <v>180129012</v>
      </c>
      <c r="F264" s="49">
        <v>28.2</v>
      </c>
      <c r="G264" s="49">
        <v>1</v>
      </c>
      <c r="H264" s="49">
        <v>8</v>
      </c>
      <c r="I264" s="49">
        <v>0</v>
      </c>
      <c r="J264" s="49">
        <v>3</v>
      </c>
      <c r="K264" s="49">
        <v>52640</v>
      </c>
      <c r="L264" s="49">
        <v>11920</v>
      </c>
      <c r="M264" s="49">
        <v>0</v>
      </c>
      <c r="N264" s="49">
        <v>40720</v>
      </c>
      <c r="O264" s="49">
        <v>0</v>
      </c>
      <c r="P264" s="49">
        <v>6939</v>
      </c>
      <c r="Q264" s="49">
        <v>0</v>
      </c>
      <c r="R264" s="49">
        <v>33781</v>
      </c>
      <c r="S264" s="49">
        <v>1.72</v>
      </c>
      <c r="T264" s="49">
        <v>58103.32</v>
      </c>
      <c r="X264" s="49" t="s">
        <v>563</v>
      </c>
      <c r="Y264" s="49" t="s">
        <v>564</v>
      </c>
      <c r="Z264" s="49" t="s">
        <v>565</v>
      </c>
      <c r="AA264" s="49" t="s">
        <v>643</v>
      </c>
      <c r="AB264" s="101" t="s">
        <v>709</v>
      </c>
    </row>
    <row r="265" spans="2:28" s="49" customFormat="1" x14ac:dyDescent="0.15">
      <c r="B265" s="137" t="s">
        <v>588</v>
      </c>
      <c r="C265" s="113">
        <v>43129.5</v>
      </c>
      <c r="D265" s="49" t="s">
        <v>473</v>
      </c>
      <c r="E265" s="49">
        <v>180129010</v>
      </c>
      <c r="F265" s="49">
        <v>29</v>
      </c>
      <c r="G265" s="49">
        <v>1</v>
      </c>
      <c r="H265" s="49">
        <v>9</v>
      </c>
      <c r="I265" s="49">
        <v>2</v>
      </c>
      <c r="J265" s="49">
        <v>4</v>
      </c>
      <c r="K265" s="49">
        <v>72340</v>
      </c>
      <c r="L265" s="49">
        <v>17220</v>
      </c>
      <c r="M265" s="49">
        <v>0</v>
      </c>
      <c r="N265" s="49">
        <v>55120</v>
      </c>
      <c r="O265" s="49">
        <v>0</v>
      </c>
      <c r="P265" s="49">
        <v>9922</v>
      </c>
      <c r="Q265" s="49">
        <v>0</v>
      </c>
      <c r="R265" s="49">
        <v>45198</v>
      </c>
      <c r="S265" s="49">
        <v>1.72</v>
      </c>
      <c r="T265" s="49">
        <v>77740.56</v>
      </c>
      <c r="X265" s="49" t="s">
        <v>348</v>
      </c>
      <c r="Y265" s="49" t="s">
        <v>349</v>
      </c>
      <c r="Z265" s="49" t="s">
        <v>350</v>
      </c>
      <c r="AA265" s="49" t="s">
        <v>698</v>
      </c>
      <c r="AB265" s="101" t="s">
        <v>659</v>
      </c>
    </row>
    <row r="266" spans="2:28" s="49" customFormat="1" x14ac:dyDescent="0.15">
      <c r="B266" s="137" t="s">
        <v>588</v>
      </c>
      <c r="C266" s="113">
        <v>43129.538888888892</v>
      </c>
      <c r="D266" s="49" t="s">
        <v>569</v>
      </c>
      <c r="E266" s="49">
        <v>180129006</v>
      </c>
      <c r="F266" s="49">
        <v>23</v>
      </c>
      <c r="G266" s="49">
        <v>1</v>
      </c>
      <c r="H266" s="49">
        <v>9</v>
      </c>
      <c r="I266" s="49">
        <v>2</v>
      </c>
      <c r="J266" s="49">
        <v>4</v>
      </c>
      <c r="K266" s="49">
        <v>88240</v>
      </c>
      <c r="L266" s="49">
        <v>21050</v>
      </c>
      <c r="M266" s="49">
        <v>0</v>
      </c>
      <c r="N266" s="49">
        <v>67190</v>
      </c>
      <c r="O266" s="49">
        <v>0</v>
      </c>
      <c r="P266" s="49">
        <v>7257</v>
      </c>
      <c r="Q266" s="49">
        <v>0</v>
      </c>
      <c r="R266" s="49">
        <v>59933</v>
      </c>
      <c r="S266" s="49">
        <v>1.72</v>
      </c>
      <c r="T266" s="49">
        <v>103084.76</v>
      </c>
      <c r="X266" s="49" t="s">
        <v>469</v>
      </c>
      <c r="Y266" s="49" t="s">
        <v>470</v>
      </c>
      <c r="Z266" s="49" t="s">
        <v>471</v>
      </c>
      <c r="AA266" s="49" t="s">
        <v>643</v>
      </c>
      <c r="AB266" s="101" t="s">
        <v>688</v>
      </c>
    </row>
    <row r="267" spans="2:28" s="49" customFormat="1" x14ac:dyDescent="0.15">
      <c r="B267" s="137" t="s">
        <v>588</v>
      </c>
      <c r="C267" s="113">
        <v>43129.543055555558</v>
      </c>
      <c r="D267" s="49" t="s">
        <v>570</v>
      </c>
      <c r="E267" s="49">
        <v>180129008</v>
      </c>
      <c r="F267" s="49">
        <v>25.5</v>
      </c>
      <c r="G267" s="49">
        <v>1</v>
      </c>
      <c r="H267" s="49">
        <v>9</v>
      </c>
      <c r="I267" s="49">
        <v>0</v>
      </c>
      <c r="J267" s="49">
        <v>4</v>
      </c>
      <c r="K267" s="49">
        <v>77280</v>
      </c>
      <c r="L267" s="49">
        <v>17070</v>
      </c>
      <c r="M267" s="49">
        <v>0</v>
      </c>
      <c r="N267" s="49">
        <v>60210</v>
      </c>
      <c r="O267" s="49">
        <v>0</v>
      </c>
      <c r="P267" s="49">
        <v>8309</v>
      </c>
      <c r="Q267" s="49">
        <v>0</v>
      </c>
      <c r="R267" s="49">
        <v>51901</v>
      </c>
      <c r="S267" s="49">
        <v>1.72</v>
      </c>
      <c r="T267" s="49">
        <v>89269.72</v>
      </c>
      <c r="X267" s="49" t="s">
        <v>469</v>
      </c>
      <c r="Y267" s="49" t="s">
        <v>470</v>
      </c>
      <c r="Z267" s="49" t="s">
        <v>471</v>
      </c>
      <c r="AA267" s="49" t="s">
        <v>643</v>
      </c>
      <c r="AB267" s="101" t="s">
        <v>688</v>
      </c>
    </row>
    <row r="268" spans="2:28" s="49" customFormat="1" x14ac:dyDescent="0.15">
      <c r="B268" s="137" t="s">
        <v>588</v>
      </c>
      <c r="C268" s="113">
        <v>43129.570138888892</v>
      </c>
      <c r="D268" s="49" t="s">
        <v>299</v>
      </c>
      <c r="E268" s="49">
        <v>180129011</v>
      </c>
      <c r="F268" s="49">
        <v>24</v>
      </c>
      <c r="G268" s="49">
        <v>1</v>
      </c>
      <c r="H268" s="49">
        <v>8</v>
      </c>
      <c r="I268" s="49">
        <v>0</v>
      </c>
      <c r="J268" s="49">
        <v>3</v>
      </c>
      <c r="K268" s="49">
        <v>81720</v>
      </c>
      <c r="L268" s="49">
        <v>16890</v>
      </c>
      <c r="M268" s="49">
        <v>0</v>
      </c>
      <c r="N268" s="49">
        <v>64830</v>
      </c>
      <c r="O268" s="49">
        <v>0</v>
      </c>
      <c r="P268" s="49">
        <v>7780</v>
      </c>
      <c r="Q268" s="49">
        <v>0</v>
      </c>
      <c r="R268" s="49">
        <v>57050</v>
      </c>
      <c r="S268" s="49">
        <v>1.72</v>
      </c>
      <c r="T268" s="49">
        <v>98126</v>
      </c>
      <c r="X268" s="49" t="s">
        <v>547</v>
      </c>
      <c r="Y268" s="49" t="s">
        <v>548</v>
      </c>
      <c r="Z268" s="49" t="s">
        <v>533</v>
      </c>
      <c r="AA268" s="49" t="s">
        <v>643</v>
      </c>
      <c r="AB268" s="101" t="s">
        <v>705</v>
      </c>
    </row>
    <row r="269" spans="2:28" s="49" customFormat="1" x14ac:dyDescent="0.15">
      <c r="B269" s="137" t="s">
        <v>588</v>
      </c>
      <c r="C269" s="113">
        <v>43129.581944444442</v>
      </c>
      <c r="D269" s="49" t="s">
        <v>329</v>
      </c>
      <c r="E269" s="49">
        <v>180129007</v>
      </c>
      <c r="F269" s="49">
        <v>23.9</v>
      </c>
      <c r="G269" s="49">
        <v>1</v>
      </c>
      <c r="H269" s="49">
        <v>9</v>
      </c>
      <c r="I269" s="49">
        <v>2</v>
      </c>
      <c r="J269" s="49">
        <v>4</v>
      </c>
      <c r="K269" s="49">
        <v>78980</v>
      </c>
      <c r="L269" s="49">
        <v>17020</v>
      </c>
      <c r="M269" s="49">
        <v>0</v>
      </c>
      <c r="N269" s="49">
        <v>61960</v>
      </c>
      <c r="O269" s="49">
        <v>0</v>
      </c>
      <c r="P269" s="49">
        <v>7361</v>
      </c>
      <c r="Q269" s="49">
        <v>0</v>
      </c>
      <c r="R269" s="49">
        <v>54599</v>
      </c>
      <c r="S269" s="49">
        <v>1.72</v>
      </c>
      <c r="T269" s="49">
        <v>93910.28</v>
      </c>
      <c r="X269" s="49" t="s">
        <v>547</v>
      </c>
      <c r="Y269" s="49" t="s">
        <v>548</v>
      </c>
      <c r="Z269" s="49" t="s">
        <v>533</v>
      </c>
      <c r="AA269" s="49" t="s">
        <v>643</v>
      </c>
      <c r="AB269" s="101" t="s">
        <v>705</v>
      </c>
    </row>
    <row r="270" spans="2:28" s="49" customFormat="1" x14ac:dyDescent="0.15">
      <c r="B270" s="137" t="s">
        <v>588</v>
      </c>
      <c r="C270" s="113">
        <v>43129.625694444447</v>
      </c>
      <c r="D270" s="49" t="s">
        <v>269</v>
      </c>
      <c r="E270" s="49">
        <v>180129015</v>
      </c>
      <c r="F270" s="49">
        <v>24.8</v>
      </c>
      <c r="G270" s="49">
        <v>1</v>
      </c>
      <c r="H270" s="49">
        <v>9</v>
      </c>
      <c r="I270" s="49">
        <v>2</v>
      </c>
      <c r="J270" s="49">
        <v>4</v>
      </c>
      <c r="K270" s="49">
        <v>87950</v>
      </c>
      <c r="L270" s="49">
        <v>19600</v>
      </c>
      <c r="M270" s="49">
        <v>0</v>
      </c>
      <c r="N270" s="49">
        <v>68350</v>
      </c>
      <c r="O270" s="49">
        <v>0</v>
      </c>
      <c r="P270" s="49">
        <v>8858</v>
      </c>
      <c r="Q270" s="49">
        <v>0</v>
      </c>
      <c r="R270" s="49">
        <v>59492</v>
      </c>
      <c r="S270" s="49">
        <v>1.72</v>
      </c>
      <c r="T270" s="49">
        <v>102326.24</v>
      </c>
      <c r="X270" s="49" t="s">
        <v>531</v>
      </c>
      <c r="Y270" s="49" t="s">
        <v>532</v>
      </c>
      <c r="Z270" s="49" t="s">
        <v>533</v>
      </c>
      <c r="AA270" s="49" t="s">
        <v>643</v>
      </c>
      <c r="AB270" s="101" t="s">
        <v>707</v>
      </c>
    </row>
    <row r="271" spans="2:28" s="49" customFormat="1" x14ac:dyDescent="0.15">
      <c r="B271" s="137" t="s">
        <v>588</v>
      </c>
      <c r="C271" s="113">
        <v>43129.630555555559</v>
      </c>
      <c r="D271" s="49" t="s">
        <v>557</v>
      </c>
      <c r="E271" s="49">
        <v>180129020</v>
      </c>
      <c r="F271" s="49">
        <v>28.2</v>
      </c>
      <c r="G271" s="49">
        <v>1</v>
      </c>
      <c r="H271" s="49">
        <v>8</v>
      </c>
      <c r="I271" s="49">
        <v>0</v>
      </c>
      <c r="J271" s="49">
        <v>3</v>
      </c>
      <c r="K271" s="49">
        <v>30090</v>
      </c>
      <c r="L271" s="49">
        <v>7320</v>
      </c>
      <c r="M271" s="49">
        <v>0</v>
      </c>
      <c r="N271" s="49">
        <v>22770</v>
      </c>
      <c r="O271" s="49">
        <v>0</v>
      </c>
      <c r="P271" s="49">
        <v>3880</v>
      </c>
      <c r="Q271" s="49">
        <v>0</v>
      </c>
      <c r="R271" s="49">
        <v>18890</v>
      </c>
      <c r="S271" s="49">
        <v>1.72</v>
      </c>
      <c r="T271" s="49">
        <v>32490.799999999999</v>
      </c>
      <c r="X271" s="49" t="s">
        <v>487</v>
      </c>
      <c r="Y271" s="49" t="s">
        <v>488</v>
      </c>
      <c r="Z271" s="49" t="s">
        <v>443</v>
      </c>
      <c r="AA271" s="49" t="s">
        <v>643</v>
      </c>
      <c r="AB271" s="101" t="s">
        <v>694</v>
      </c>
    </row>
    <row r="272" spans="2:28" s="49" customFormat="1" x14ac:dyDescent="0.15">
      <c r="B272" s="137" t="s">
        <v>588</v>
      </c>
      <c r="C272" s="113">
        <v>43129.64166666667</v>
      </c>
      <c r="D272" s="49" t="s">
        <v>578</v>
      </c>
      <c r="E272" s="49">
        <v>180129018</v>
      </c>
      <c r="F272" s="49">
        <v>30.4</v>
      </c>
      <c r="G272" s="49">
        <v>1.5</v>
      </c>
      <c r="H272" s="49">
        <v>8</v>
      </c>
      <c r="I272" s="49">
        <v>0</v>
      </c>
      <c r="J272" s="49">
        <v>3</v>
      </c>
      <c r="K272" s="49">
        <v>88250</v>
      </c>
      <c r="L272" s="49">
        <v>18460</v>
      </c>
      <c r="M272" s="49">
        <v>349</v>
      </c>
      <c r="N272" s="49">
        <v>69790</v>
      </c>
      <c r="O272" s="49">
        <v>0</v>
      </c>
      <c r="P272" s="49">
        <v>13735</v>
      </c>
      <c r="Q272" s="49">
        <v>0</v>
      </c>
      <c r="R272" s="49">
        <v>55706</v>
      </c>
      <c r="S272" s="49">
        <v>1.72</v>
      </c>
      <c r="T272" s="49">
        <v>95814.319999999992</v>
      </c>
      <c r="X272" s="49" t="s">
        <v>390</v>
      </c>
      <c r="Y272" s="49" t="s">
        <v>391</v>
      </c>
      <c r="Z272" s="49" t="s">
        <v>392</v>
      </c>
      <c r="AA272" s="49" t="s">
        <v>670</v>
      </c>
      <c r="AB272" s="101" t="s">
        <v>671</v>
      </c>
    </row>
    <row r="273" spans="2:28" s="49" customFormat="1" x14ac:dyDescent="0.15">
      <c r="B273" s="137" t="s">
        <v>588</v>
      </c>
      <c r="C273" s="113">
        <v>43129.656944444447</v>
      </c>
      <c r="D273" s="49" t="s">
        <v>540</v>
      </c>
      <c r="E273" s="49">
        <v>180129032</v>
      </c>
      <c r="F273" s="49">
        <v>28</v>
      </c>
      <c r="G273" s="49">
        <v>1</v>
      </c>
      <c r="H273" s="49">
        <v>8</v>
      </c>
      <c r="I273" s="49">
        <v>0</v>
      </c>
      <c r="J273" s="49">
        <v>3</v>
      </c>
      <c r="K273" s="49">
        <v>21250</v>
      </c>
      <c r="L273" s="49">
        <v>7120</v>
      </c>
      <c r="M273" s="49">
        <v>0</v>
      </c>
      <c r="N273" s="49">
        <v>14130</v>
      </c>
      <c r="O273" s="49">
        <v>0</v>
      </c>
      <c r="P273" s="49">
        <v>2374</v>
      </c>
      <c r="Q273" s="49">
        <v>0</v>
      </c>
      <c r="R273" s="49">
        <v>11756</v>
      </c>
      <c r="S273" s="49">
        <v>1.72</v>
      </c>
      <c r="T273" s="49">
        <v>20220.32</v>
      </c>
      <c r="X273" s="49" t="s">
        <v>537</v>
      </c>
      <c r="Y273" s="49" t="s">
        <v>538</v>
      </c>
      <c r="Z273" s="49" t="s">
        <v>539</v>
      </c>
      <c r="AA273" s="49" t="s">
        <v>689</v>
      </c>
      <c r="AB273" s="101" t="s">
        <v>704</v>
      </c>
    </row>
    <row r="274" spans="2:28" s="49" customFormat="1" x14ac:dyDescent="0.15">
      <c r="B274" s="137" t="s">
        <v>588</v>
      </c>
      <c r="C274" s="113">
        <v>43129.661111111112</v>
      </c>
      <c r="D274" s="49" t="s">
        <v>423</v>
      </c>
      <c r="E274" s="49">
        <v>180129031</v>
      </c>
      <c r="F274" s="49">
        <v>28</v>
      </c>
      <c r="G274" s="49">
        <v>1</v>
      </c>
      <c r="H274" s="49">
        <v>8</v>
      </c>
      <c r="I274" s="49">
        <v>0</v>
      </c>
      <c r="J274" s="49">
        <v>3</v>
      </c>
      <c r="K274" s="49">
        <v>57840</v>
      </c>
      <c r="L274" s="49">
        <v>16730</v>
      </c>
      <c r="M274" s="49">
        <v>0</v>
      </c>
      <c r="N274" s="49">
        <v>41110</v>
      </c>
      <c r="O274" s="49">
        <v>0</v>
      </c>
      <c r="P274" s="49">
        <v>6906</v>
      </c>
      <c r="Q274" s="49">
        <v>0</v>
      </c>
      <c r="R274" s="49">
        <v>34204</v>
      </c>
      <c r="S274" s="49">
        <v>1.72</v>
      </c>
      <c r="T274" s="49">
        <v>58830.879999999997</v>
      </c>
      <c r="X274" s="49" t="s">
        <v>386</v>
      </c>
      <c r="Y274" s="49" t="s">
        <v>387</v>
      </c>
      <c r="Z274" s="49" t="s">
        <v>388</v>
      </c>
      <c r="AA274" s="49" t="s">
        <v>668</v>
      </c>
      <c r="AB274" s="101" t="s">
        <v>669</v>
      </c>
    </row>
    <row r="275" spans="2:28" s="49" customFormat="1" x14ac:dyDescent="0.15">
      <c r="B275" s="137" t="s">
        <v>588</v>
      </c>
      <c r="C275" s="113">
        <v>43129.665277777778</v>
      </c>
      <c r="D275" s="49" t="s">
        <v>265</v>
      </c>
      <c r="E275" s="49">
        <v>180129016</v>
      </c>
      <c r="F275" s="49">
        <v>24.2</v>
      </c>
      <c r="G275" s="49">
        <v>1</v>
      </c>
      <c r="H275" s="49">
        <v>9</v>
      </c>
      <c r="I275" s="49">
        <v>2</v>
      </c>
      <c r="J275" s="49">
        <v>4</v>
      </c>
      <c r="K275" s="49">
        <v>79130</v>
      </c>
      <c r="L275" s="49">
        <v>16960</v>
      </c>
      <c r="M275" s="49">
        <v>0</v>
      </c>
      <c r="N275" s="49">
        <v>62170</v>
      </c>
      <c r="O275" s="49">
        <v>0</v>
      </c>
      <c r="P275" s="49">
        <v>7610</v>
      </c>
      <c r="Q275" s="49">
        <v>0</v>
      </c>
      <c r="R275" s="49">
        <v>54560</v>
      </c>
      <c r="S275" s="49">
        <v>1.72</v>
      </c>
      <c r="T275" s="49">
        <v>93843.199999999997</v>
      </c>
      <c r="X275" s="49" t="s">
        <v>531</v>
      </c>
      <c r="Y275" s="49" t="s">
        <v>532</v>
      </c>
      <c r="Z275" s="49" t="s">
        <v>533</v>
      </c>
      <c r="AA275" s="49" t="s">
        <v>643</v>
      </c>
      <c r="AB275" s="101" t="s">
        <v>707</v>
      </c>
    </row>
    <row r="276" spans="2:28" s="49" customFormat="1" x14ac:dyDescent="0.15">
      <c r="B276" s="137" t="s">
        <v>588</v>
      </c>
      <c r="C276" s="113">
        <v>43129.669444444444</v>
      </c>
      <c r="D276" s="49" t="s">
        <v>497</v>
      </c>
      <c r="E276" s="49">
        <v>180129021</v>
      </c>
      <c r="F276" s="49">
        <v>29.2</v>
      </c>
      <c r="G276" s="49">
        <v>1</v>
      </c>
      <c r="H276" s="49">
        <v>8</v>
      </c>
      <c r="I276" s="49">
        <v>0</v>
      </c>
      <c r="J276" s="49">
        <v>3</v>
      </c>
      <c r="K276" s="49">
        <v>50510</v>
      </c>
      <c r="L276" s="49">
        <v>13070</v>
      </c>
      <c r="M276" s="49">
        <v>0</v>
      </c>
      <c r="N276" s="49">
        <v>37440</v>
      </c>
      <c r="O276" s="49">
        <v>0</v>
      </c>
      <c r="P276" s="49">
        <v>6829</v>
      </c>
      <c r="Q276" s="49">
        <v>0</v>
      </c>
      <c r="R276" s="49">
        <v>30611</v>
      </c>
      <c r="S276" s="49">
        <v>1.72</v>
      </c>
      <c r="T276" s="49">
        <v>52650.92</v>
      </c>
      <c r="X276" s="49" t="s">
        <v>487</v>
      </c>
      <c r="Y276" s="49" t="s">
        <v>488</v>
      </c>
      <c r="Z276" s="49" t="s">
        <v>443</v>
      </c>
      <c r="AA276" s="49" t="s">
        <v>643</v>
      </c>
      <c r="AB276" s="101" t="s">
        <v>694</v>
      </c>
    </row>
    <row r="277" spans="2:28" s="49" customFormat="1" x14ac:dyDescent="0.15">
      <c r="B277" s="137" t="s">
        <v>588</v>
      </c>
      <c r="C277" s="113">
        <v>43129.674305555556</v>
      </c>
      <c r="D277" s="49" t="s">
        <v>489</v>
      </c>
      <c r="E277" s="49">
        <v>180129036</v>
      </c>
      <c r="F277" s="49">
        <v>28.5</v>
      </c>
      <c r="G277" s="49">
        <v>1</v>
      </c>
      <c r="H277" s="49">
        <v>8</v>
      </c>
      <c r="I277" s="49">
        <v>0</v>
      </c>
      <c r="J277" s="49">
        <v>3</v>
      </c>
      <c r="K277" s="49">
        <v>24900</v>
      </c>
      <c r="L277" s="49">
        <v>7190</v>
      </c>
      <c r="M277" s="49">
        <v>0</v>
      </c>
      <c r="N277" s="49">
        <v>17710</v>
      </c>
      <c r="O277" s="49">
        <v>0</v>
      </c>
      <c r="P277" s="49">
        <v>3082</v>
      </c>
      <c r="Q277" s="49">
        <v>0</v>
      </c>
      <c r="R277" s="49">
        <v>14628</v>
      </c>
      <c r="S277" s="49">
        <v>1.72</v>
      </c>
      <c r="T277" s="49">
        <v>25160.16</v>
      </c>
      <c r="X277" s="49" t="s">
        <v>487</v>
      </c>
      <c r="Y277" s="49" t="s">
        <v>488</v>
      </c>
      <c r="Z277" s="49" t="s">
        <v>443</v>
      </c>
      <c r="AA277" s="49" t="s">
        <v>643</v>
      </c>
      <c r="AB277" s="101" t="s">
        <v>694</v>
      </c>
    </row>
    <row r="278" spans="2:28" s="49" customFormat="1" x14ac:dyDescent="0.15">
      <c r="B278" s="137" t="s">
        <v>588</v>
      </c>
      <c r="C278" s="113">
        <v>43129.688194444447</v>
      </c>
      <c r="D278" s="49" t="s">
        <v>525</v>
      </c>
      <c r="E278" s="49">
        <v>180129038</v>
      </c>
      <c r="F278" s="49">
        <v>29.5</v>
      </c>
      <c r="G278" s="49">
        <v>1</v>
      </c>
      <c r="H278" s="49">
        <v>8</v>
      </c>
      <c r="I278" s="49">
        <v>0</v>
      </c>
      <c r="J278" s="49">
        <v>3</v>
      </c>
      <c r="K278" s="49">
        <v>30530</v>
      </c>
      <c r="L278" s="49">
        <v>9340</v>
      </c>
      <c r="M278" s="49">
        <v>0</v>
      </c>
      <c r="N278" s="49">
        <v>21190</v>
      </c>
      <c r="O278" s="49">
        <v>0</v>
      </c>
      <c r="P278" s="49">
        <v>3941</v>
      </c>
      <c r="Q278" s="49">
        <v>0</v>
      </c>
      <c r="R278" s="49">
        <v>17249</v>
      </c>
      <c r="S278" s="49">
        <v>1.72</v>
      </c>
      <c r="T278" s="49">
        <v>29668.28</v>
      </c>
      <c r="X278" s="49" t="s">
        <v>228</v>
      </c>
      <c r="Y278" s="49" t="s">
        <v>229</v>
      </c>
      <c r="Z278" s="49" t="s">
        <v>230</v>
      </c>
      <c r="AA278" s="49" t="s">
        <v>643</v>
      </c>
      <c r="AB278" s="101" t="s">
        <v>623</v>
      </c>
    </row>
    <row r="279" spans="2:28" s="49" customFormat="1" x14ac:dyDescent="0.15">
      <c r="B279" s="137" t="s">
        <v>588</v>
      </c>
      <c r="C279" s="113">
        <v>43129.693055555559</v>
      </c>
      <c r="D279" s="49" t="s">
        <v>448</v>
      </c>
      <c r="E279" s="49">
        <v>180129037</v>
      </c>
      <c r="F279" s="49">
        <v>26.5</v>
      </c>
      <c r="G279" s="49">
        <v>1</v>
      </c>
      <c r="H279" s="49">
        <v>7</v>
      </c>
      <c r="I279" s="49">
        <v>0</v>
      </c>
      <c r="J279" s="49">
        <v>2</v>
      </c>
      <c r="K279" s="49">
        <v>16460</v>
      </c>
      <c r="L279" s="49">
        <v>4750</v>
      </c>
      <c r="M279" s="49">
        <v>0</v>
      </c>
      <c r="N279" s="49">
        <v>11710</v>
      </c>
      <c r="O279" s="49">
        <v>0</v>
      </c>
      <c r="P279" s="49">
        <v>1757</v>
      </c>
      <c r="Q279" s="49">
        <v>0</v>
      </c>
      <c r="R279" s="49">
        <v>9953</v>
      </c>
      <c r="S279" s="49">
        <v>1.72</v>
      </c>
      <c r="T279" s="49">
        <v>17119.16</v>
      </c>
      <c r="X279" s="49" t="s">
        <v>487</v>
      </c>
      <c r="Y279" s="49" t="s">
        <v>488</v>
      </c>
      <c r="Z279" s="49" t="s">
        <v>443</v>
      </c>
      <c r="AA279" s="49" t="s">
        <v>643</v>
      </c>
      <c r="AB279" s="101" t="s">
        <v>694</v>
      </c>
    </row>
    <row r="280" spans="2:28" s="49" customFormat="1" x14ac:dyDescent="0.15">
      <c r="B280" s="137" t="s">
        <v>588</v>
      </c>
      <c r="C280" s="113">
        <v>43129.700694444444</v>
      </c>
      <c r="D280" s="49" t="s">
        <v>558</v>
      </c>
      <c r="E280" s="49">
        <v>180129022</v>
      </c>
      <c r="F280" s="49">
        <v>26.5</v>
      </c>
      <c r="G280" s="49">
        <v>1</v>
      </c>
      <c r="H280" s="49">
        <v>7</v>
      </c>
      <c r="I280" s="49">
        <v>0</v>
      </c>
      <c r="J280" s="49">
        <v>2</v>
      </c>
      <c r="K280" s="49">
        <v>114380</v>
      </c>
      <c r="L280" s="49">
        <v>23810</v>
      </c>
      <c r="M280" s="49">
        <v>0</v>
      </c>
      <c r="N280" s="49">
        <v>90570</v>
      </c>
      <c r="O280" s="49">
        <v>0</v>
      </c>
      <c r="P280" s="49">
        <v>13586</v>
      </c>
      <c r="Q280" s="49">
        <v>0</v>
      </c>
      <c r="R280" s="49">
        <v>76984</v>
      </c>
      <c r="S280" s="49">
        <v>1.72</v>
      </c>
      <c r="T280" s="49">
        <v>132412.48000000001</v>
      </c>
      <c r="X280" s="49" t="s">
        <v>424</v>
      </c>
      <c r="Y280" s="49" t="s">
        <v>425</v>
      </c>
      <c r="Z280" s="49" t="s">
        <v>426</v>
      </c>
      <c r="AA280" s="49" t="s">
        <v>670</v>
      </c>
      <c r="AB280" s="101" t="s">
        <v>678</v>
      </c>
    </row>
    <row r="281" spans="2:28" s="49" customFormat="1" x14ac:dyDescent="0.15">
      <c r="B281" s="137" t="s">
        <v>588</v>
      </c>
      <c r="C281" s="113">
        <v>43129.71597222222</v>
      </c>
      <c r="D281" s="49" t="s">
        <v>560</v>
      </c>
      <c r="E281" s="49">
        <v>180129024</v>
      </c>
      <c r="F281" s="49">
        <v>26.9</v>
      </c>
      <c r="G281" s="49">
        <v>1</v>
      </c>
      <c r="H281" s="49">
        <v>8</v>
      </c>
      <c r="I281" s="49">
        <v>0</v>
      </c>
      <c r="J281" s="49">
        <v>3</v>
      </c>
      <c r="K281" s="49">
        <v>90520</v>
      </c>
      <c r="L281" s="49">
        <v>20840</v>
      </c>
      <c r="M281" s="49">
        <v>0</v>
      </c>
      <c r="N281" s="49">
        <v>69680</v>
      </c>
      <c r="O281" s="49">
        <v>0</v>
      </c>
      <c r="P281" s="49">
        <v>10786</v>
      </c>
      <c r="Q281" s="49">
        <v>0</v>
      </c>
      <c r="R281" s="49">
        <v>58894</v>
      </c>
      <c r="S281" s="49">
        <v>1.72</v>
      </c>
      <c r="T281" s="49">
        <v>101297.68</v>
      </c>
      <c r="X281" s="49" t="s">
        <v>407</v>
      </c>
      <c r="Y281" s="49" t="s">
        <v>408</v>
      </c>
      <c r="Z281" s="49" t="s">
        <v>409</v>
      </c>
      <c r="AA281" s="49" t="s">
        <v>647</v>
      </c>
      <c r="AB281" s="101" t="s">
        <v>710</v>
      </c>
    </row>
    <row r="282" spans="2:28" s="49" customFormat="1" x14ac:dyDescent="0.15">
      <c r="B282" s="137" t="s">
        <v>588</v>
      </c>
      <c r="C282" s="113">
        <v>43129.720138888886</v>
      </c>
      <c r="D282" s="49" t="s">
        <v>561</v>
      </c>
      <c r="E282" s="49">
        <v>180129027</v>
      </c>
      <c r="F282" s="49">
        <v>28</v>
      </c>
      <c r="G282" s="49">
        <v>1</v>
      </c>
      <c r="H282" s="49">
        <v>8</v>
      </c>
      <c r="I282" s="49">
        <v>0</v>
      </c>
      <c r="J282" s="49">
        <v>3</v>
      </c>
      <c r="K282" s="49">
        <v>89160</v>
      </c>
      <c r="L282" s="49">
        <v>19580</v>
      </c>
      <c r="M282" s="49">
        <v>0</v>
      </c>
      <c r="N282" s="49">
        <v>69580</v>
      </c>
      <c r="O282" s="49">
        <v>0</v>
      </c>
      <c r="P282" s="49">
        <v>11689</v>
      </c>
      <c r="Q282" s="49">
        <v>0</v>
      </c>
      <c r="R282" s="49">
        <v>57891</v>
      </c>
      <c r="S282" s="49">
        <v>1.72</v>
      </c>
      <c r="T282" s="49">
        <v>99572.52</v>
      </c>
      <c r="X282" s="49" t="s">
        <v>390</v>
      </c>
      <c r="Y282" s="49" t="s">
        <v>391</v>
      </c>
      <c r="Z282" s="49" t="s">
        <v>392</v>
      </c>
      <c r="AA282" s="49" t="s">
        <v>670</v>
      </c>
      <c r="AB282" s="101" t="s">
        <v>671</v>
      </c>
    </row>
    <row r="283" spans="2:28" s="49" customFormat="1" x14ac:dyDescent="0.15">
      <c r="B283" s="137" t="s">
        <v>588</v>
      </c>
      <c r="C283" s="113">
        <v>43129.740277777775</v>
      </c>
      <c r="D283" s="49" t="s">
        <v>559</v>
      </c>
      <c r="E283" s="49">
        <v>180129023</v>
      </c>
      <c r="F283" s="49">
        <v>30.4</v>
      </c>
      <c r="G283" s="49">
        <v>1</v>
      </c>
      <c r="H283" s="49">
        <v>8</v>
      </c>
      <c r="I283" s="49">
        <v>0</v>
      </c>
      <c r="J283" s="49">
        <v>3</v>
      </c>
      <c r="K283" s="49">
        <v>107940</v>
      </c>
      <c r="L283" s="49">
        <v>21880</v>
      </c>
      <c r="M283" s="49">
        <v>0</v>
      </c>
      <c r="N283" s="49">
        <v>86060</v>
      </c>
      <c r="O283" s="49">
        <v>0</v>
      </c>
      <c r="P283" s="49">
        <v>16937</v>
      </c>
      <c r="Q283" s="49">
        <v>0</v>
      </c>
      <c r="R283" s="49">
        <v>69123</v>
      </c>
      <c r="S283" s="49">
        <v>1.72</v>
      </c>
      <c r="T283" s="49">
        <v>118891.56</v>
      </c>
      <c r="X283" s="49" t="s">
        <v>424</v>
      </c>
      <c r="Y283" s="49" t="s">
        <v>425</v>
      </c>
      <c r="Z283" s="49" t="s">
        <v>426</v>
      </c>
      <c r="AA283" s="49" t="s">
        <v>670</v>
      </c>
      <c r="AB283" s="101" t="s">
        <v>678</v>
      </c>
    </row>
    <row r="284" spans="2:28" s="49" customFormat="1" x14ac:dyDescent="0.15">
      <c r="B284" s="137" t="s">
        <v>588</v>
      </c>
      <c r="C284" s="113">
        <v>43129.746527777781</v>
      </c>
      <c r="D284" s="49" t="s">
        <v>351</v>
      </c>
      <c r="E284" s="49">
        <v>180129029</v>
      </c>
      <c r="F284" s="49">
        <v>27</v>
      </c>
      <c r="G284" s="49">
        <v>1</v>
      </c>
      <c r="H284" s="49">
        <v>8</v>
      </c>
      <c r="I284" s="49">
        <v>0</v>
      </c>
      <c r="J284" s="49">
        <v>3</v>
      </c>
      <c r="K284" s="49">
        <v>48460</v>
      </c>
      <c r="L284" s="49">
        <v>12280</v>
      </c>
      <c r="M284" s="49">
        <v>0</v>
      </c>
      <c r="N284" s="49">
        <v>36180</v>
      </c>
      <c r="O284" s="49">
        <v>0</v>
      </c>
      <c r="P284" s="49">
        <v>5644</v>
      </c>
      <c r="Q284" s="49">
        <v>0</v>
      </c>
      <c r="R284" s="49">
        <v>30536</v>
      </c>
      <c r="S284" s="49">
        <v>1.72</v>
      </c>
      <c r="T284" s="49">
        <v>52521.919999999998</v>
      </c>
      <c r="X284" s="49" t="s">
        <v>348</v>
      </c>
      <c r="Y284" s="49" t="s">
        <v>349</v>
      </c>
      <c r="Z284" s="49" t="s">
        <v>350</v>
      </c>
      <c r="AA284" s="49" t="s">
        <v>698</v>
      </c>
      <c r="AB284" s="101" t="s">
        <v>659</v>
      </c>
    </row>
    <row r="285" spans="2:28" s="49" customFormat="1" x14ac:dyDescent="0.15">
      <c r="B285" s="137" t="s">
        <v>588</v>
      </c>
      <c r="C285" s="113">
        <v>43129.753472222219</v>
      </c>
      <c r="D285" s="49" t="s">
        <v>513</v>
      </c>
      <c r="E285" s="49">
        <v>180129045</v>
      </c>
      <c r="F285" s="49">
        <v>25</v>
      </c>
      <c r="G285" s="49">
        <v>1</v>
      </c>
      <c r="H285" s="49">
        <v>9</v>
      </c>
      <c r="I285" s="49">
        <v>2</v>
      </c>
      <c r="J285" s="49">
        <v>4</v>
      </c>
      <c r="K285" s="49">
        <v>78120</v>
      </c>
      <c r="L285" s="49">
        <v>21030</v>
      </c>
      <c r="M285" s="49">
        <v>0</v>
      </c>
      <c r="N285" s="49">
        <v>57090</v>
      </c>
      <c r="O285" s="49">
        <v>0</v>
      </c>
      <c r="P285" s="49">
        <v>7536</v>
      </c>
      <c r="Q285" s="49">
        <v>0</v>
      </c>
      <c r="R285" s="49">
        <v>49554</v>
      </c>
      <c r="S285" s="49">
        <v>1.72</v>
      </c>
      <c r="T285" s="49">
        <v>85232.88</v>
      </c>
      <c r="X285" s="49" t="s">
        <v>510</v>
      </c>
      <c r="Y285" s="49" t="s">
        <v>511</v>
      </c>
      <c r="Z285" s="49" t="s">
        <v>512</v>
      </c>
      <c r="AA285" s="101" t="s">
        <v>665</v>
      </c>
      <c r="AB285" s="101" t="s">
        <v>701</v>
      </c>
    </row>
    <row r="286" spans="2:28" s="49" customFormat="1" x14ac:dyDescent="0.15">
      <c r="B286" s="137" t="s">
        <v>588</v>
      </c>
      <c r="C286" s="113">
        <v>43129.757638888892</v>
      </c>
      <c r="D286" s="49" t="s">
        <v>562</v>
      </c>
      <c r="E286" s="49">
        <v>180129030</v>
      </c>
      <c r="F286" s="49">
        <v>26.4</v>
      </c>
      <c r="G286" s="49">
        <v>1</v>
      </c>
      <c r="H286" s="49">
        <v>8</v>
      </c>
      <c r="I286" s="49">
        <v>0</v>
      </c>
      <c r="J286" s="49">
        <v>3</v>
      </c>
      <c r="K286" s="49">
        <v>60090</v>
      </c>
      <c r="L286" s="49">
        <v>15200</v>
      </c>
      <c r="M286" s="49">
        <v>0</v>
      </c>
      <c r="N286" s="49">
        <v>44890</v>
      </c>
      <c r="O286" s="49">
        <v>0</v>
      </c>
      <c r="P286" s="49">
        <v>6680</v>
      </c>
      <c r="Q286" s="49">
        <v>0</v>
      </c>
      <c r="R286" s="49">
        <v>38210</v>
      </c>
      <c r="S286" s="49">
        <v>1.72</v>
      </c>
      <c r="T286" s="49">
        <v>65721.2</v>
      </c>
      <c r="X286" s="49" t="s">
        <v>527</v>
      </c>
      <c r="Y286" s="49" t="s">
        <v>528</v>
      </c>
      <c r="Z286" s="49" t="s">
        <v>529</v>
      </c>
      <c r="AA286" s="101" t="s">
        <v>643</v>
      </c>
      <c r="AB286" s="101" t="s">
        <v>706</v>
      </c>
    </row>
    <row r="287" spans="2:28" s="49" customFormat="1" x14ac:dyDescent="0.15">
      <c r="B287" s="137" t="s">
        <v>588</v>
      </c>
      <c r="C287" s="113">
        <v>43129.796527777777</v>
      </c>
      <c r="D287" s="49" t="s">
        <v>544</v>
      </c>
      <c r="E287" s="49">
        <v>180129034</v>
      </c>
      <c r="F287" s="49">
        <v>28.7</v>
      </c>
      <c r="G287" s="49">
        <v>1</v>
      </c>
      <c r="H287" s="49">
        <v>8</v>
      </c>
      <c r="I287" s="49">
        <v>0</v>
      </c>
      <c r="J287" s="49">
        <v>3</v>
      </c>
      <c r="K287" s="49">
        <v>45250</v>
      </c>
      <c r="L287" s="49">
        <v>13670</v>
      </c>
      <c r="M287" s="49">
        <v>0</v>
      </c>
      <c r="N287" s="49">
        <v>31580</v>
      </c>
      <c r="O287" s="49">
        <v>0</v>
      </c>
      <c r="P287" s="49">
        <v>5571</v>
      </c>
      <c r="Q287" s="49">
        <v>0</v>
      </c>
      <c r="R287" s="49">
        <v>26009</v>
      </c>
      <c r="S287" s="49">
        <v>1.72</v>
      </c>
      <c r="T287" s="49">
        <v>44735.479999999996</v>
      </c>
      <c r="X287" s="49" t="s">
        <v>541</v>
      </c>
      <c r="Y287" s="49" t="s">
        <v>542</v>
      </c>
      <c r="Z287" s="49" t="s">
        <v>543</v>
      </c>
      <c r="AA287" s="49" t="s">
        <v>643</v>
      </c>
      <c r="AB287" s="101" t="s">
        <v>708</v>
      </c>
    </row>
    <row r="288" spans="2:28" s="49" customFormat="1" x14ac:dyDescent="0.15">
      <c r="B288" s="137" t="s">
        <v>588</v>
      </c>
      <c r="C288" s="113">
        <v>43129.804166666669</v>
      </c>
      <c r="D288" s="49" t="s">
        <v>571</v>
      </c>
      <c r="E288" s="49">
        <v>180129033</v>
      </c>
      <c r="F288" s="49">
        <v>29.8</v>
      </c>
      <c r="G288" s="49">
        <v>1</v>
      </c>
      <c r="H288" s="49">
        <v>8</v>
      </c>
      <c r="I288" s="49">
        <v>0</v>
      </c>
      <c r="J288" s="49">
        <v>3</v>
      </c>
      <c r="K288" s="49">
        <v>88140</v>
      </c>
      <c r="L288" s="49">
        <v>18810</v>
      </c>
      <c r="M288" s="49">
        <v>0</v>
      </c>
      <c r="N288" s="49">
        <v>69330</v>
      </c>
      <c r="O288" s="49">
        <v>0</v>
      </c>
      <c r="P288" s="49">
        <v>13145</v>
      </c>
      <c r="Q288" s="49">
        <v>0</v>
      </c>
      <c r="R288" s="49">
        <v>56185</v>
      </c>
      <c r="S288" s="49">
        <v>1.72</v>
      </c>
      <c r="T288" s="49">
        <v>96638.2</v>
      </c>
      <c r="X288" s="49" t="s">
        <v>390</v>
      </c>
      <c r="Y288" s="49" t="s">
        <v>391</v>
      </c>
      <c r="Z288" s="49" t="s">
        <v>392</v>
      </c>
      <c r="AA288" s="49" t="s">
        <v>670</v>
      </c>
      <c r="AB288" s="101" t="s">
        <v>671</v>
      </c>
    </row>
    <row r="289" spans="2:28" s="49" customFormat="1" x14ac:dyDescent="0.15">
      <c r="B289" s="137" t="s">
        <v>588</v>
      </c>
      <c r="C289" s="113">
        <v>43129.807638888888</v>
      </c>
      <c r="D289" s="49" t="s">
        <v>218</v>
      </c>
      <c r="E289" s="49">
        <v>180129043</v>
      </c>
      <c r="F289" s="49">
        <v>27.3</v>
      </c>
      <c r="G289" s="49">
        <v>1</v>
      </c>
      <c r="H289" s="49">
        <v>8</v>
      </c>
      <c r="I289" s="49">
        <v>0</v>
      </c>
      <c r="J289" s="49">
        <v>3</v>
      </c>
      <c r="K289" s="49">
        <v>31280</v>
      </c>
      <c r="L289" s="49">
        <v>7040</v>
      </c>
      <c r="M289" s="49">
        <v>0</v>
      </c>
      <c r="N289" s="49">
        <v>24240</v>
      </c>
      <c r="O289" s="49">
        <v>0</v>
      </c>
      <c r="P289" s="49">
        <v>3869</v>
      </c>
      <c r="Q289" s="49">
        <v>0</v>
      </c>
      <c r="R289" s="49">
        <v>20371</v>
      </c>
      <c r="S289" s="49">
        <v>1.72</v>
      </c>
      <c r="T289" s="49">
        <v>35038.120000000003</v>
      </c>
      <c r="X289" s="49" t="s">
        <v>219</v>
      </c>
      <c r="Y289" s="49" t="s">
        <v>220</v>
      </c>
      <c r="Z289" s="49" t="s">
        <v>221</v>
      </c>
      <c r="AA289" s="49" t="s">
        <v>643</v>
      </c>
      <c r="AB289" s="101" t="s">
        <v>621</v>
      </c>
    </row>
    <row r="290" spans="2:28" s="49" customFormat="1" x14ac:dyDescent="0.15">
      <c r="B290" s="137"/>
      <c r="C290" s="113" t="s">
        <v>679</v>
      </c>
      <c r="AB290" s="101"/>
    </row>
    <row r="291" spans="2:28" s="49" customFormat="1" x14ac:dyDescent="0.15">
      <c r="B291" s="137" t="s">
        <v>588</v>
      </c>
      <c r="C291" s="113">
        <v>43129.818749999999</v>
      </c>
      <c r="D291" s="49" t="s">
        <v>399</v>
      </c>
      <c r="E291" s="49">
        <v>180129028</v>
      </c>
      <c r="F291" s="49">
        <v>27.5</v>
      </c>
      <c r="G291" s="49">
        <v>1</v>
      </c>
      <c r="H291" s="49">
        <v>8</v>
      </c>
      <c r="I291" s="49">
        <v>0</v>
      </c>
      <c r="J291" s="49">
        <v>3</v>
      </c>
      <c r="K291" s="49">
        <v>92600</v>
      </c>
      <c r="L291" s="49">
        <v>22970</v>
      </c>
      <c r="M291" s="49">
        <v>0</v>
      </c>
      <c r="N291" s="49">
        <v>69630</v>
      </c>
      <c r="O291" s="49">
        <v>0</v>
      </c>
      <c r="P291" s="49">
        <v>11280</v>
      </c>
      <c r="Q291" s="49">
        <v>0</v>
      </c>
      <c r="R291" s="49">
        <v>58350</v>
      </c>
      <c r="S291" s="49">
        <v>1.72</v>
      </c>
      <c r="T291" s="49">
        <v>100362</v>
      </c>
      <c r="X291" s="49" t="s">
        <v>149</v>
      </c>
      <c r="Y291" s="49" t="s">
        <v>150</v>
      </c>
      <c r="Z291" s="49" t="s">
        <v>151</v>
      </c>
      <c r="AA291" s="49" t="s">
        <v>640</v>
      </c>
      <c r="AB291" s="101" t="s">
        <v>606</v>
      </c>
    </row>
    <row r="292" spans="2:28" s="49" customFormat="1" x14ac:dyDescent="0.15">
      <c r="B292" s="137" t="s">
        <v>588</v>
      </c>
      <c r="C292" s="113">
        <v>43129.829861111109</v>
      </c>
      <c r="D292" s="49" t="s">
        <v>389</v>
      </c>
      <c r="E292" s="49">
        <v>180129046</v>
      </c>
      <c r="F292" s="49">
        <v>29.5</v>
      </c>
      <c r="G292" s="49">
        <v>1</v>
      </c>
      <c r="H292" s="49">
        <v>8</v>
      </c>
      <c r="I292" s="49">
        <v>0</v>
      </c>
      <c r="J292" s="49">
        <v>3</v>
      </c>
      <c r="K292" s="49">
        <v>65870</v>
      </c>
      <c r="L292" s="49">
        <v>16740</v>
      </c>
      <c r="M292" s="49">
        <v>0</v>
      </c>
      <c r="N292" s="49">
        <v>49130</v>
      </c>
      <c r="O292" s="49">
        <v>0</v>
      </c>
      <c r="P292" s="49">
        <v>9138</v>
      </c>
      <c r="Q292" s="49">
        <v>0</v>
      </c>
      <c r="R292" s="49">
        <v>39992</v>
      </c>
      <c r="S292" s="49">
        <v>1.72</v>
      </c>
      <c r="T292" s="49">
        <v>68786.240000000005</v>
      </c>
      <c r="X292" s="49" t="s">
        <v>390</v>
      </c>
      <c r="Y292" s="49" t="s">
        <v>391</v>
      </c>
      <c r="Z292" s="49" t="s">
        <v>392</v>
      </c>
      <c r="AA292" s="49" t="s">
        <v>670</v>
      </c>
      <c r="AB292" s="101" t="s">
        <v>671</v>
      </c>
    </row>
    <row r="293" spans="2:28" s="49" customFormat="1" x14ac:dyDescent="0.15">
      <c r="B293" s="137" t="s">
        <v>588</v>
      </c>
      <c r="C293" s="113">
        <v>43129.859722222223</v>
      </c>
      <c r="D293" s="49" t="s">
        <v>575</v>
      </c>
      <c r="E293" s="49">
        <v>180129041</v>
      </c>
      <c r="F293" s="49">
        <v>23.8</v>
      </c>
      <c r="G293" s="49">
        <v>1</v>
      </c>
      <c r="H293" s="49">
        <v>7</v>
      </c>
      <c r="I293" s="49">
        <v>0</v>
      </c>
      <c r="J293" s="49">
        <v>2</v>
      </c>
      <c r="K293" s="49">
        <v>88570</v>
      </c>
      <c r="L293" s="49">
        <v>21180</v>
      </c>
      <c r="M293" s="49">
        <v>0</v>
      </c>
      <c r="N293" s="49">
        <v>67390</v>
      </c>
      <c r="O293" s="49">
        <v>0</v>
      </c>
      <c r="P293" s="49">
        <v>7925</v>
      </c>
      <c r="Q293" s="49">
        <v>0</v>
      </c>
      <c r="R293" s="49">
        <v>59465</v>
      </c>
      <c r="S293" s="49">
        <v>1.72</v>
      </c>
      <c r="T293" s="49">
        <v>102279.8</v>
      </c>
      <c r="X293" s="49" t="s">
        <v>572</v>
      </c>
      <c r="Y293" s="49" t="s">
        <v>573</v>
      </c>
      <c r="Z293" s="49" t="s">
        <v>574</v>
      </c>
      <c r="AA293" s="101" t="s">
        <v>643</v>
      </c>
      <c r="AB293" s="101" t="s">
        <v>711</v>
      </c>
    </row>
    <row r="294" spans="2:28" s="49" customFormat="1" x14ac:dyDescent="0.15">
      <c r="B294" s="137" t="s">
        <v>588</v>
      </c>
      <c r="C294" s="113">
        <v>43129.863888888889</v>
      </c>
      <c r="D294" s="49" t="s">
        <v>576</v>
      </c>
      <c r="E294" s="49">
        <v>180129042</v>
      </c>
      <c r="F294" s="49">
        <v>23.7</v>
      </c>
      <c r="G294" s="49">
        <v>1</v>
      </c>
      <c r="H294" s="49">
        <v>7</v>
      </c>
      <c r="I294" s="49">
        <v>0</v>
      </c>
      <c r="J294" s="49">
        <v>2</v>
      </c>
      <c r="K294" s="49">
        <v>80180</v>
      </c>
      <c r="L294" s="49">
        <v>18090</v>
      </c>
      <c r="M294" s="49">
        <v>0</v>
      </c>
      <c r="N294" s="49">
        <v>62090</v>
      </c>
      <c r="O294" s="49">
        <v>0</v>
      </c>
      <c r="P294" s="49">
        <v>7227</v>
      </c>
      <c r="Q294" s="49">
        <v>0</v>
      </c>
      <c r="R294" s="49">
        <v>54863</v>
      </c>
      <c r="S294" s="49">
        <v>1.72</v>
      </c>
      <c r="T294" s="49">
        <v>94364.36</v>
      </c>
      <c r="X294" s="49" t="s">
        <v>572</v>
      </c>
      <c r="Y294" s="49" t="s">
        <v>573</v>
      </c>
      <c r="Z294" s="49" t="s">
        <v>574</v>
      </c>
      <c r="AA294" s="101" t="s">
        <v>643</v>
      </c>
      <c r="AB294" s="101" t="s">
        <v>711</v>
      </c>
    </row>
    <row r="295" spans="2:28" s="49" customFormat="1" x14ac:dyDescent="0.15">
      <c r="B295" s="137" t="s">
        <v>588</v>
      </c>
      <c r="C295" s="113">
        <v>43129.872916666667</v>
      </c>
      <c r="D295" s="49" t="s">
        <v>577</v>
      </c>
      <c r="E295" s="49">
        <v>180129044</v>
      </c>
      <c r="F295" s="49">
        <v>23.5</v>
      </c>
      <c r="G295" s="49">
        <v>1</v>
      </c>
      <c r="H295" s="49">
        <v>7</v>
      </c>
      <c r="I295" s="49">
        <v>0</v>
      </c>
      <c r="J295" s="49">
        <v>2</v>
      </c>
      <c r="K295" s="49">
        <v>82390</v>
      </c>
      <c r="L295" s="49">
        <v>19310</v>
      </c>
      <c r="M295" s="49">
        <v>0</v>
      </c>
      <c r="N295" s="49">
        <v>63080</v>
      </c>
      <c r="O295" s="49">
        <v>0</v>
      </c>
      <c r="P295" s="49">
        <v>7191</v>
      </c>
      <c r="Q295" s="49">
        <v>0</v>
      </c>
      <c r="R295" s="49">
        <v>55889</v>
      </c>
      <c r="S295" s="49">
        <v>1.72</v>
      </c>
      <c r="T295" s="49">
        <v>96129.08</v>
      </c>
      <c r="X295" s="49" t="s">
        <v>572</v>
      </c>
      <c r="Y295" s="49" t="s">
        <v>573</v>
      </c>
      <c r="Z295" s="49" t="s">
        <v>574</v>
      </c>
      <c r="AA295" s="101" t="s">
        <v>643</v>
      </c>
      <c r="AB295" s="101" t="s">
        <v>711</v>
      </c>
    </row>
    <row r="296" spans="2:28" s="49" customFormat="1" x14ac:dyDescent="0.15">
      <c r="B296" s="137"/>
      <c r="C296" s="113"/>
      <c r="AA296" s="101"/>
      <c r="AB296" s="101"/>
    </row>
    <row r="297" spans="2:28" s="49" customFormat="1" x14ac:dyDescent="0.15">
      <c r="B297" s="137" t="s">
        <v>588</v>
      </c>
      <c r="C297" s="113">
        <v>43130.431250000001</v>
      </c>
      <c r="D297" s="49" t="s">
        <v>345</v>
      </c>
      <c r="E297" s="49">
        <v>180130001</v>
      </c>
      <c r="F297" s="49">
        <v>26.3</v>
      </c>
      <c r="G297" s="49">
        <v>1</v>
      </c>
      <c r="H297" s="49">
        <v>8</v>
      </c>
      <c r="I297" s="49">
        <v>0</v>
      </c>
      <c r="J297" s="49">
        <v>3</v>
      </c>
      <c r="K297" s="49">
        <v>91220</v>
      </c>
      <c r="L297" s="49">
        <v>23090</v>
      </c>
      <c r="M297" s="49">
        <v>0</v>
      </c>
      <c r="N297" s="49">
        <v>68130</v>
      </c>
      <c r="O297" s="49">
        <v>0</v>
      </c>
      <c r="P297" s="49">
        <v>10056</v>
      </c>
      <c r="Q297" s="49">
        <v>0</v>
      </c>
      <c r="R297" s="49">
        <v>58074</v>
      </c>
      <c r="S297" s="49">
        <v>1.72</v>
      </c>
      <c r="T297" s="49">
        <v>99887.28</v>
      </c>
      <c r="X297" s="49" t="s">
        <v>407</v>
      </c>
      <c r="Y297" s="49" t="s">
        <v>408</v>
      </c>
      <c r="Z297" s="49" t="s">
        <v>409</v>
      </c>
      <c r="AA297" s="49" t="s">
        <v>647</v>
      </c>
      <c r="AB297" s="101" t="s">
        <v>710</v>
      </c>
    </row>
    <row r="298" spans="2:28" s="49" customFormat="1" x14ac:dyDescent="0.15">
      <c r="B298" s="137" t="s">
        <v>588</v>
      </c>
      <c r="C298" s="113">
        <v>43130.438888888886</v>
      </c>
      <c r="D298" s="49" t="s">
        <v>504</v>
      </c>
      <c r="E298" s="49">
        <v>180130009</v>
      </c>
      <c r="F298" s="49">
        <v>29.9</v>
      </c>
      <c r="G298" s="49">
        <v>1</v>
      </c>
      <c r="H298" s="49">
        <v>8</v>
      </c>
      <c r="I298" s="49">
        <v>0</v>
      </c>
      <c r="J298" s="49">
        <v>3</v>
      </c>
      <c r="K298" s="49">
        <v>40120</v>
      </c>
      <c r="L298" s="49">
        <v>9900</v>
      </c>
      <c r="M298" s="49">
        <v>0</v>
      </c>
      <c r="N298" s="49">
        <v>30220</v>
      </c>
      <c r="O298" s="49">
        <v>0</v>
      </c>
      <c r="P298" s="49">
        <v>5766</v>
      </c>
      <c r="Q298" s="49">
        <v>0</v>
      </c>
      <c r="R298" s="49">
        <v>24454</v>
      </c>
      <c r="S298" s="49">
        <v>1.72</v>
      </c>
      <c r="T298" s="49">
        <v>42060.88</v>
      </c>
      <c r="X298" s="49" t="s">
        <v>712</v>
      </c>
      <c r="Y298" s="49" t="s">
        <v>713</v>
      </c>
      <c r="Z298" s="49" t="s">
        <v>714</v>
      </c>
      <c r="AA298" s="49" t="s">
        <v>698</v>
      </c>
      <c r="AB298" s="101" t="s">
        <v>715</v>
      </c>
    </row>
    <row r="299" spans="2:28" s="49" customFormat="1" x14ac:dyDescent="0.15">
      <c r="B299" s="137" t="s">
        <v>588</v>
      </c>
      <c r="C299" s="113">
        <v>43130.443749999999</v>
      </c>
      <c r="D299" s="49" t="s">
        <v>440</v>
      </c>
      <c r="E299" s="49">
        <v>180130006</v>
      </c>
      <c r="F299" s="49">
        <v>27</v>
      </c>
      <c r="G299" s="49">
        <v>1</v>
      </c>
      <c r="H299" s="49">
        <v>8</v>
      </c>
      <c r="I299" s="49">
        <v>0</v>
      </c>
      <c r="J299" s="49">
        <v>3</v>
      </c>
      <c r="K299" s="49">
        <v>84920</v>
      </c>
      <c r="L299" s="49">
        <v>16760</v>
      </c>
      <c r="M299" s="49">
        <v>0</v>
      </c>
      <c r="N299" s="49">
        <v>68160</v>
      </c>
      <c r="O299" s="49">
        <v>0</v>
      </c>
      <c r="P299" s="49">
        <v>10633</v>
      </c>
      <c r="Q299" s="49">
        <v>0</v>
      </c>
      <c r="R299" s="49">
        <v>57527</v>
      </c>
      <c r="S299" s="49">
        <v>1.72</v>
      </c>
      <c r="T299" s="49">
        <v>98946.44</v>
      </c>
      <c r="X299" s="49" t="s">
        <v>547</v>
      </c>
      <c r="Y299" s="49" t="s">
        <v>548</v>
      </c>
      <c r="Z299" s="49" t="s">
        <v>533</v>
      </c>
      <c r="AA299" s="49" t="s">
        <v>643</v>
      </c>
      <c r="AB299" s="101" t="s">
        <v>705</v>
      </c>
    </row>
    <row r="300" spans="2:28" s="49" customFormat="1" x14ac:dyDescent="0.15">
      <c r="B300" s="137" t="s">
        <v>588</v>
      </c>
      <c r="C300" s="113">
        <v>43130.500694444447</v>
      </c>
      <c r="D300" s="49" t="s">
        <v>505</v>
      </c>
      <c r="E300" s="49">
        <v>180130012</v>
      </c>
      <c r="F300" s="49">
        <v>26.9</v>
      </c>
      <c r="G300" s="49">
        <v>1</v>
      </c>
      <c r="H300" s="49">
        <v>8</v>
      </c>
      <c r="I300" s="49">
        <v>0</v>
      </c>
      <c r="J300" s="49">
        <v>3</v>
      </c>
      <c r="K300" s="49">
        <v>54190</v>
      </c>
      <c r="L300" s="49">
        <v>12190</v>
      </c>
      <c r="M300" s="49">
        <v>0</v>
      </c>
      <c r="N300" s="49">
        <v>42000</v>
      </c>
      <c r="O300" s="49">
        <v>0</v>
      </c>
      <c r="P300" s="49">
        <v>6502</v>
      </c>
      <c r="Q300" s="49">
        <v>0</v>
      </c>
      <c r="R300" s="49">
        <v>35498</v>
      </c>
      <c r="S300" s="49">
        <v>1.72</v>
      </c>
      <c r="T300" s="49">
        <v>61056.56</v>
      </c>
      <c r="X300" s="49" t="s">
        <v>712</v>
      </c>
      <c r="Y300" s="49" t="s">
        <v>713</v>
      </c>
      <c r="Z300" s="49" t="s">
        <v>714</v>
      </c>
      <c r="AA300" s="49" t="s">
        <v>698</v>
      </c>
      <c r="AB300" s="101" t="s">
        <v>715</v>
      </c>
    </row>
    <row r="301" spans="2:28" s="49" customFormat="1" x14ac:dyDescent="0.15">
      <c r="B301" s="137" t="s">
        <v>588</v>
      </c>
      <c r="C301" s="113">
        <v>43130.515277777777</v>
      </c>
      <c r="D301" s="49" t="s">
        <v>716</v>
      </c>
      <c r="E301" s="49">
        <v>180130008</v>
      </c>
      <c r="F301" s="49">
        <v>26.5</v>
      </c>
      <c r="G301" s="49">
        <v>1</v>
      </c>
      <c r="H301" s="49">
        <v>8</v>
      </c>
      <c r="I301" s="49">
        <v>0</v>
      </c>
      <c r="J301" s="49">
        <v>3</v>
      </c>
      <c r="K301" s="49">
        <v>77970</v>
      </c>
      <c r="L301" s="49">
        <v>16580</v>
      </c>
      <c r="M301" s="49">
        <v>0</v>
      </c>
      <c r="N301" s="49">
        <v>61390</v>
      </c>
      <c r="O301" s="49">
        <v>0</v>
      </c>
      <c r="P301" s="49">
        <v>9209</v>
      </c>
      <c r="Q301" s="49">
        <v>0</v>
      </c>
      <c r="R301" s="49">
        <v>52181</v>
      </c>
      <c r="S301" s="49">
        <v>1.72</v>
      </c>
      <c r="T301" s="49">
        <v>89751.319999999992</v>
      </c>
      <c r="X301" s="49" t="s">
        <v>547</v>
      </c>
      <c r="Y301" s="49" t="s">
        <v>548</v>
      </c>
      <c r="Z301" s="49" t="s">
        <v>533</v>
      </c>
      <c r="AA301" s="49" t="s">
        <v>643</v>
      </c>
      <c r="AB301" s="101" t="s">
        <v>705</v>
      </c>
    </row>
    <row r="302" spans="2:28" s="49" customFormat="1" x14ac:dyDescent="0.15">
      <c r="B302" s="137" t="s">
        <v>588</v>
      </c>
      <c r="C302" s="113">
        <v>43130.545138888891</v>
      </c>
      <c r="D302" s="49" t="s">
        <v>550</v>
      </c>
      <c r="E302" s="49">
        <v>180130007</v>
      </c>
      <c r="F302" s="49">
        <v>26.9</v>
      </c>
      <c r="G302" s="49">
        <v>1</v>
      </c>
      <c r="H302" s="49">
        <v>8</v>
      </c>
      <c r="I302" s="49">
        <v>0</v>
      </c>
      <c r="J302" s="49">
        <v>3</v>
      </c>
      <c r="K302" s="49">
        <v>74760</v>
      </c>
      <c r="L302" s="49">
        <v>16970</v>
      </c>
      <c r="M302" s="49">
        <v>0</v>
      </c>
      <c r="N302" s="49">
        <v>57790</v>
      </c>
      <c r="O302" s="49">
        <v>0</v>
      </c>
      <c r="P302" s="49">
        <v>8946</v>
      </c>
      <c r="Q302" s="49">
        <v>0</v>
      </c>
      <c r="R302" s="49">
        <v>48844</v>
      </c>
      <c r="S302" s="49">
        <v>1.72</v>
      </c>
      <c r="T302" s="49">
        <v>84011.68</v>
      </c>
      <c r="X302" s="49" t="s">
        <v>547</v>
      </c>
      <c r="Y302" s="49" t="s">
        <v>548</v>
      </c>
      <c r="Z302" s="49" t="s">
        <v>533</v>
      </c>
      <c r="AA302" s="49" t="s">
        <v>643</v>
      </c>
      <c r="AB302" s="101" t="s">
        <v>705</v>
      </c>
    </row>
    <row r="303" spans="2:28" s="49" customFormat="1" x14ac:dyDescent="0.15">
      <c r="B303" s="137" t="s">
        <v>588</v>
      </c>
      <c r="C303" s="113">
        <v>43130.55</v>
      </c>
      <c r="D303" s="49" t="s">
        <v>549</v>
      </c>
      <c r="E303" s="49">
        <v>180130010</v>
      </c>
      <c r="F303" s="49">
        <v>27.6</v>
      </c>
      <c r="G303" s="49">
        <v>1</v>
      </c>
      <c r="H303" s="49">
        <v>8</v>
      </c>
      <c r="I303" s="49">
        <v>0</v>
      </c>
      <c r="J303" s="49">
        <v>3</v>
      </c>
      <c r="K303" s="49">
        <v>77000</v>
      </c>
      <c r="L303" s="49">
        <v>16890</v>
      </c>
      <c r="M303" s="49">
        <v>0</v>
      </c>
      <c r="N303" s="49">
        <v>60110</v>
      </c>
      <c r="O303" s="49">
        <v>0</v>
      </c>
      <c r="P303" s="49">
        <v>9810</v>
      </c>
      <c r="Q303" s="49">
        <v>0</v>
      </c>
      <c r="R303" s="49">
        <v>50300</v>
      </c>
      <c r="S303" s="49">
        <v>1.72</v>
      </c>
      <c r="T303" s="49">
        <v>86516</v>
      </c>
      <c r="X303" s="49" t="s">
        <v>547</v>
      </c>
      <c r="Y303" s="49" t="s">
        <v>548</v>
      </c>
      <c r="Z303" s="49" t="s">
        <v>533</v>
      </c>
      <c r="AA303" s="49" t="s">
        <v>643</v>
      </c>
      <c r="AB303" s="101" t="s">
        <v>705</v>
      </c>
    </row>
    <row r="304" spans="2:28" s="49" customFormat="1" x14ac:dyDescent="0.15">
      <c r="B304" s="137" t="s">
        <v>588</v>
      </c>
      <c r="C304" s="113">
        <v>43130.563888888886</v>
      </c>
      <c r="D304" s="49" t="s">
        <v>717</v>
      </c>
      <c r="E304" s="49">
        <v>180130013</v>
      </c>
      <c r="F304" s="49">
        <v>26.7</v>
      </c>
      <c r="G304" s="49">
        <v>1</v>
      </c>
      <c r="H304" s="49">
        <v>8</v>
      </c>
      <c r="I304" s="49">
        <v>0</v>
      </c>
      <c r="J304" s="49">
        <v>3</v>
      </c>
      <c r="K304" s="49">
        <v>56010</v>
      </c>
      <c r="L304" s="49">
        <v>15170</v>
      </c>
      <c r="M304" s="49">
        <v>0</v>
      </c>
      <c r="N304" s="49">
        <v>40840</v>
      </c>
      <c r="O304" s="49">
        <v>0</v>
      </c>
      <c r="P304" s="49">
        <v>6224</v>
      </c>
      <c r="Q304" s="49">
        <v>0</v>
      </c>
      <c r="R304" s="49">
        <v>34616</v>
      </c>
      <c r="S304" s="49">
        <v>1.72</v>
      </c>
      <c r="T304" s="49">
        <v>59539.519999999997</v>
      </c>
      <c r="X304" s="49" t="s">
        <v>348</v>
      </c>
      <c r="Y304" s="49" t="s">
        <v>349</v>
      </c>
      <c r="Z304" s="49" t="s">
        <v>350</v>
      </c>
      <c r="AA304" s="49" t="s">
        <v>698</v>
      </c>
      <c r="AB304" s="101" t="s">
        <v>659</v>
      </c>
    </row>
    <row r="305" spans="2:28" s="49" customFormat="1" x14ac:dyDescent="0.15">
      <c r="B305" s="137" t="s">
        <v>588</v>
      </c>
      <c r="C305" s="113">
        <v>43130.575694444444</v>
      </c>
      <c r="D305" s="49" t="s">
        <v>718</v>
      </c>
      <c r="E305" s="49">
        <v>180130014</v>
      </c>
      <c r="F305" s="49">
        <v>27.3</v>
      </c>
      <c r="G305" s="49">
        <v>1</v>
      </c>
      <c r="H305" s="49">
        <v>8</v>
      </c>
      <c r="I305" s="49">
        <v>0</v>
      </c>
      <c r="J305" s="49">
        <v>3</v>
      </c>
      <c r="K305" s="49">
        <v>62520</v>
      </c>
      <c r="L305" s="49">
        <v>15780</v>
      </c>
      <c r="M305" s="49">
        <v>0</v>
      </c>
      <c r="N305" s="49">
        <v>46740</v>
      </c>
      <c r="O305" s="49">
        <v>0</v>
      </c>
      <c r="P305" s="49">
        <v>7460</v>
      </c>
      <c r="Q305" s="49">
        <v>0</v>
      </c>
      <c r="R305" s="49">
        <v>39280</v>
      </c>
      <c r="S305" s="49">
        <v>1.72</v>
      </c>
      <c r="T305" s="49">
        <v>67561.600000000006</v>
      </c>
      <c r="X305" s="49" t="s">
        <v>348</v>
      </c>
      <c r="Y305" s="49" t="s">
        <v>349</v>
      </c>
      <c r="Z305" s="49" t="s">
        <v>350</v>
      </c>
      <c r="AA305" s="49" t="s">
        <v>698</v>
      </c>
      <c r="AB305" s="101" t="s">
        <v>659</v>
      </c>
    </row>
    <row r="306" spans="2:28" s="49" customFormat="1" x14ac:dyDescent="0.15">
      <c r="B306" s="137" t="s">
        <v>588</v>
      </c>
      <c r="C306" s="113">
        <v>43130.614583333336</v>
      </c>
      <c r="D306" s="49" t="s">
        <v>719</v>
      </c>
      <c r="E306" s="49">
        <v>180130024</v>
      </c>
      <c r="F306" s="49">
        <v>23.5</v>
      </c>
      <c r="G306" s="49">
        <v>1</v>
      </c>
      <c r="H306" s="49">
        <v>8</v>
      </c>
      <c r="I306" s="49">
        <v>0</v>
      </c>
      <c r="J306" s="49">
        <v>3</v>
      </c>
      <c r="K306" s="49">
        <v>35220</v>
      </c>
      <c r="L306" s="49">
        <v>12200</v>
      </c>
      <c r="M306" s="49">
        <v>0</v>
      </c>
      <c r="N306" s="49">
        <v>23020</v>
      </c>
      <c r="O306" s="49">
        <v>0</v>
      </c>
      <c r="P306" s="49">
        <v>2624</v>
      </c>
      <c r="Q306" s="49">
        <v>0</v>
      </c>
      <c r="R306" s="49">
        <v>20396</v>
      </c>
      <c r="S306" s="49">
        <v>1.72</v>
      </c>
      <c r="T306" s="49">
        <v>35081.120000000003</v>
      </c>
      <c r="X306" s="49" t="s">
        <v>720</v>
      </c>
      <c r="Y306" s="49" t="s">
        <v>721</v>
      </c>
      <c r="Z306" s="49" t="s">
        <v>722</v>
      </c>
      <c r="AA306" s="49" t="s">
        <v>643</v>
      </c>
      <c r="AB306" s="101" t="s">
        <v>723</v>
      </c>
    </row>
    <row r="307" spans="2:28" s="49" customFormat="1" x14ac:dyDescent="0.15">
      <c r="B307" s="137" t="s">
        <v>588</v>
      </c>
      <c r="C307" s="113">
        <v>43130.618750000001</v>
      </c>
      <c r="D307" s="49" t="s">
        <v>413</v>
      </c>
      <c r="E307" s="49">
        <v>180130027</v>
      </c>
      <c r="F307" s="49">
        <v>27.5</v>
      </c>
      <c r="G307" s="49">
        <v>1</v>
      </c>
      <c r="H307" s="49">
        <v>8</v>
      </c>
      <c r="I307" s="49">
        <v>0</v>
      </c>
      <c r="J307" s="49">
        <v>3</v>
      </c>
      <c r="K307" s="49">
        <v>17420</v>
      </c>
      <c r="L307" s="49">
        <v>4250</v>
      </c>
      <c r="M307" s="49">
        <v>0</v>
      </c>
      <c r="N307" s="49">
        <v>13170</v>
      </c>
      <c r="O307" s="49">
        <v>0</v>
      </c>
      <c r="P307" s="49">
        <v>2134</v>
      </c>
      <c r="Q307" s="49">
        <v>0</v>
      </c>
      <c r="R307" s="49">
        <v>11036</v>
      </c>
      <c r="S307" s="49">
        <v>1.72</v>
      </c>
      <c r="T307" s="49">
        <v>18981.919999999998</v>
      </c>
      <c r="X307" s="49" t="s">
        <v>724</v>
      </c>
      <c r="Y307" s="49" t="s">
        <v>725</v>
      </c>
      <c r="Z307" s="49" t="s">
        <v>726</v>
      </c>
      <c r="AA307" s="49" t="s">
        <v>643</v>
      </c>
      <c r="AB307" s="101" t="s">
        <v>727</v>
      </c>
    </row>
    <row r="308" spans="2:28" s="49" customFormat="1" x14ac:dyDescent="0.15">
      <c r="B308" s="137" t="s">
        <v>588</v>
      </c>
      <c r="C308" s="113">
        <v>43130.625</v>
      </c>
      <c r="D308" s="49" t="s">
        <v>566</v>
      </c>
      <c r="E308" s="49">
        <v>180130021</v>
      </c>
      <c r="F308" s="49">
        <v>29</v>
      </c>
      <c r="G308" s="49">
        <v>1</v>
      </c>
      <c r="H308" s="49">
        <v>8</v>
      </c>
      <c r="I308" s="49">
        <v>1</v>
      </c>
      <c r="J308" s="49">
        <v>3</v>
      </c>
      <c r="K308" s="49">
        <v>51290</v>
      </c>
      <c r="L308" s="49">
        <v>11940</v>
      </c>
      <c r="M308" s="49">
        <v>0</v>
      </c>
      <c r="N308" s="49">
        <v>39350</v>
      </c>
      <c r="O308" s="49">
        <v>0</v>
      </c>
      <c r="P308" s="49">
        <v>7083</v>
      </c>
      <c r="Q308" s="49">
        <v>0</v>
      </c>
      <c r="R308" s="49">
        <v>32267</v>
      </c>
      <c r="S308" s="49">
        <v>1.72</v>
      </c>
      <c r="T308" s="49">
        <v>55499.24</v>
      </c>
      <c r="X308" s="49" t="s">
        <v>712</v>
      </c>
      <c r="Y308" s="49" t="s">
        <v>713</v>
      </c>
      <c r="Z308" s="49" t="s">
        <v>714</v>
      </c>
      <c r="AA308" s="49" t="s">
        <v>698</v>
      </c>
      <c r="AB308" s="101" t="s">
        <v>715</v>
      </c>
    </row>
    <row r="309" spans="2:28" s="49" customFormat="1" x14ac:dyDescent="0.15">
      <c r="B309" s="137" t="s">
        <v>588</v>
      </c>
      <c r="C309" s="113">
        <v>43130.640277777777</v>
      </c>
      <c r="D309" s="49" t="s">
        <v>341</v>
      </c>
      <c r="E309" s="49">
        <v>180130025</v>
      </c>
      <c r="F309" s="49">
        <v>24.8</v>
      </c>
      <c r="G309" s="49">
        <v>1</v>
      </c>
      <c r="H309" s="49">
        <v>8</v>
      </c>
      <c r="I309" s="49">
        <v>1</v>
      </c>
      <c r="J309" s="49">
        <v>3</v>
      </c>
      <c r="K309" s="49">
        <v>24450</v>
      </c>
      <c r="L309" s="49">
        <v>9170</v>
      </c>
      <c r="M309" s="49">
        <v>0</v>
      </c>
      <c r="N309" s="49">
        <v>15280</v>
      </c>
      <c r="O309" s="49">
        <v>0</v>
      </c>
      <c r="P309" s="49">
        <v>1980</v>
      </c>
      <c r="Q309" s="49">
        <v>0</v>
      </c>
      <c r="R309" s="49">
        <v>13300</v>
      </c>
      <c r="S309" s="49">
        <v>1.72</v>
      </c>
      <c r="T309" s="49">
        <v>22876</v>
      </c>
      <c r="X309" s="49" t="s">
        <v>359</v>
      </c>
      <c r="Y309" s="49" t="s">
        <v>360</v>
      </c>
      <c r="Z309" s="49" t="s">
        <v>361</v>
      </c>
      <c r="AA309" s="49" t="s">
        <v>640</v>
      </c>
      <c r="AB309" s="101" t="s">
        <v>660</v>
      </c>
    </row>
    <row r="310" spans="2:28" s="49" customFormat="1" x14ac:dyDescent="0.15">
      <c r="B310" s="137" t="s">
        <v>588</v>
      </c>
      <c r="C310" s="113">
        <v>43130.644444444442</v>
      </c>
      <c r="D310" s="49" t="s">
        <v>728</v>
      </c>
      <c r="E310" s="49">
        <v>180130022</v>
      </c>
      <c r="F310" s="49">
        <v>30.5</v>
      </c>
      <c r="G310" s="49">
        <v>1</v>
      </c>
      <c r="H310" s="49">
        <v>12</v>
      </c>
      <c r="I310" s="49">
        <v>4</v>
      </c>
      <c r="J310" s="49">
        <v>8.5</v>
      </c>
      <c r="K310" s="49">
        <v>20590</v>
      </c>
      <c r="L310" s="49">
        <v>4550</v>
      </c>
      <c r="M310" s="49">
        <v>0</v>
      </c>
      <c r="N310" s="49">
        <v>16040</v>
      </c>
      <c r="O310" s="49">
        <v>32</v>
      </c>
      <c r="P310" s="49">
        <v>3176</v>
      </c>
      <c r="Q310" s="49">
        <v>180</v>
      </c>
      <c r="R310" s="49">
        <v>12652</v>
      </c>
      <c r="S310" s="49">
        <v>1.72</v>
      </c>
      <c r="T310" s="49">
        <v>21761.439999999999</v>
      </c>
      <c r="X310" s="49" t="s">
        <v>729</v>
      </c>
      <c r="Y310" s="49" t="s">
        <v>730</v>
      </c>
      <c r="Z310" s="49" t="s">
        <v>731</v>
      </c>
      <c r="AA310" s="49" t="s">
        <v>643</v>
      </c>
      <c r="AB310" s="101" t="s">
        <v>732</v>
      </c>
    </row>
    <row r="311" spans="2:28" s="49" customFormat="1" x14ac:dyDescent="0.15">
      <c r="B311" s="137" t="s">
        <v>588</v>
      </c>
      <c r="C311" s="113">
        <v>43130.657638888886</v>
      </c>
      <c r="D311" s="49" t="s">
        <v>733</v>
      </c>
      <c r="E311" s="49">
        <v>180130016</v>
      </c>
      <c r="F311" s="49">
        <v>28.2</v>
      </c>
      <c r="G311" s="49">
        <v>1</v>
      </c>
      <c r="H311" s="49">
        <v>8</v>
      </c>
      <c r="I311" s="49">
        <v>0</v>
      </c>
      <c r="J311" s="49">
        <v>3</v>
      </c>
      <c r="K311" s="49">
        <v>86200</v>
      </c>
      <c r="L311" s="49">
        <v>19650</v>
      </c>
      <c r="M311" s="49">
        <v>0</v>
      </c>
      <c r="N311" s="49">
        <v>66550</v>
      </c>
      <c r="O311" s="49">
        <v>0</v>
      </c>
      <c r="P311" s="49">
        <v>11340</v>
      </c>
      <c r="Q311" s="49">
        <v>0</v>
      </c>
      <c r="R311" s="49">
        <v>55210</v>
      </c>
      <c r="S311" s="49">
        <v>1.72</v>
      </c>
      <c r="T311" s="49">
        <v>94961.2</v>
      </c>
      <c r="X311" s="49" t="s">
        <v>469</v>
      </c>
      <c r="Y311" s="49" t="s">
        <v>470</v>
      </c>
      <c r="Z311" s="49" t="s">
        <v>471</v>
      </c>
      <c r="AA311" s="49" t="s">
        <v>643</v>
      </c>
      <c r="AB311" s="101" t="s">
        <v>688</v>
      </c>
    </row>
    <row r="312" spans="2:28" s="49" customFormat="1" x14ac:dyDescent="0.15">
      <c r="B312" s="137" t="s">
        <v>588</v>
      </c>
      <c r="C312" s="113">
        <v>43130.668055555558</v>
      </c>
      <c r="D312" s="49" t="s">
        <v>154</v>
      </c>
      <c r="E312" s="49">
        <v>180130032</v>
      </c>
      <c r="F312" s="49">
        <v>23.5</v>
      </c>
      <c r="G312" s="49">
        <v>1</v>
      </c>
      <c r="H312" s="49">
        <v>7</v>
      </c>
      <c r="I312" s="49">
        <v>0</v>
      </c>
      <c r="J312" s="49">
        <v>2</v>
      </c>
      <c r="K312" s="49">
        <v>34830</v>
      </c>
      <c r="L312" s="49">
        <v>10270</v>
      </c>
      <c r="M312" s="49">
        <v>0</v>
      </c>
      <c r="N312" s="49">
        <v>24560</v>
      </c>
      <c r="O312" s="49">
        <v>0</v>
      </c>
      <c r="P312" s="49">
        <v>2800</v>
      </c>
      <c r="Q312" s="49">
        <v>0</v>
      </c>
      <c r="R312" s="49">
        <v>21760</v>
      </c>
      <c r="S312" s="49">
        <v>1.72</v>
      </c>
      <c r="T312" s="49">
        <v>37427.199999999997</v>
      </c>
      <c r="X312" s="49" t="s">
        <v>734</v>
      </c>
      <c r="Y312" s="49" t="s">
        <v>735</v>
      </c>
      <c r="Z312" s="49" t="s">
        <v>736</v>
      </c>
      <c r="AA312" s="49" t="s">
        <v>689</v>
      </c>
      <c r="AB312" s="101" t="s">
        <v>737</v>
      </c>
    </row>
    <row r="313" spans="2:28" s="49" customFormat="1" x14ac:dyDescent="0.15">
      <c r="B313" s="137" t="s">
        <v>588</v>
      </c>
      <c r="C313" s="113">
        <v>43130.675694444442</v>
      </c>
      <c r="D313" s="49" t="s">
        <v>738</v>
      </c>
      <c r="E313" s="49">
        <v>180130034</v>
      </c>
      <c r="F313" s="49">
        <v>24.4</v>
      </c>
      <c r="G313" s="49">
        <v>1</v>
      </c>
      <c r="H313" s="49">
        <v>7</v>
      </c>
      <c r="I313" s="49">
        <v>0</v>
      </c>
      <c r="J313" s="49">
        <v>2</v>
      </c>
      <c r="K313" s="49">
        <v>30760</v>
      </c>
      <c r="L313" s="49">
        <v>6990</v>
      </c>
      <c r="M313" s="49">
        <v>0</v>
      </c>
      <c r="N313" s="49">
        <v>23770</v>
      </c>
      <c r="O313" s="49">
        <v>0</v>
      </c>
      <c r="P313" s="49">
        <v>2966</v>
      </c>
      <c r="Q313" s="49">
        <v>0</v>
      </c>
      <c r="R313" s="49">
        <v>20804</v>
      </c>
      <c r="S313" s="49">
        <v>1.72</v>
      </c>
      <c r="T313" s="49">
        <v>35782.879999999997</v>
      </c>
      <c r="X313" s="49" t="s">
        <v>739</v>
      </c>
      <c r="Y313" s="49" t="s">
        <v>740</v>
      </c>
      <c r="Z313" s="49" t="s">
        <v>741</v>
      </c>
      <c r="AA313" s="49" t="s">
        <v>643</v>
      </c>
      <c r="AB313" s="101" t="s">
        <v>742</v>
      </c>
    </row>
    <row r="314" spans="2:28" s="49" customFormat="1" x14ac:dyDescent="0.15">
      <c r="B314" s="137" t="s">
        <v>588</v>
      </c>
      <c r="C314" s="113">
        <v>43130.681944444441</v>
      </c>
      <c r="D314" s="49" t="s">
        <v>166</v>
      </c>
      <c r="E314" s="49">
        <v>180130035</v>
      </c>
      <c r="F314" s="49">
        <v>30.7</v>
      </c>
      <c r="G314" s="49">
        <v>1</v>
      </c>
      <c r="H314" s="49">
        <v>10</v>
      </c>
      <c r="I314" s="49">
        <v>3</v>
      </c>
      <c r="J314" s="49">
        <v>6</v>
      </c>
      <c r="K314" s="49">
        <v>31820</v>
      </c>
      <c r="L314" s="49">
        <v>10230</v>
      </c>
      <c r="M314" s="49">
        <v>0</v>
      </c>
      <c r="N314" s="49">
        <v>21590</v>
      </c>
      <c r="O314" s="49">
        <v>0</v>
      </c>
      <c r="P314" s="49">
        <v>4327</v>
      </c>
      <c r="Q314" s="49">
        <v>0</v>
      </c>
      <c r="R314" s="49">
        <v>17263</v>
      </c>
      <c r="S314" s="49">
        <v>1.72</v>
      </c>
      <c r="T314" s="49">
        <v>29692.36</v>
      </c>
      <c r="X314" s="49" t="s">
        <v>729</v>
      </c>
      <c r="Y314" s="49" t="s">
        <v>730</v>
      </c>
      <c r="Z314" s="49" t="s">
        <v>731</v>
      </c>
      <c r="AA314" s="49" t="s">
        <v>643</v>
      </c>
      <c r="AB314" s="101" t="s">
        <v>732</v>
      </c>
    </row>
    <row r="315" spans="2:28" s="49" customFormat="1" x14ac:dyDescent="0.15">
      <c r="B315" s="137" t="s">
        <v>588</v>
      </c>
      <c r="C315" s="113">
        <v>43130.707638888889</v>
      </c>
      <c r="D315" s="49" t="s">
        <v>201</v>
      </c>
      <c r="E315" s="49">
        <v>180130033</v>
      </c>
      <c r="F315" s="49">
        <v>24.9</v>
      </c>
      <c r="G315" s="49">
        <v>1</v>
      </c>
      <c r="H315" s="49">
        <v>7</v>
      </c>
      <c r="I315" s="49">
        <v>0</v>
      </c>
      <c r="J315" s="49">
        <v>2</v>
      </c>
      <c r="K315" s="49">
        <v>61420</v>
      </c>
      <c r="L315" s="49">
        <v>15010</v>
      </c>
      <c r="M315" s="49">
        <v>0</v>
      </c>
      <c r="N315" s="49">
        <v>46410</v>
      </c>
      <c r="O315" s="49">
        <v>0</v>
      </c>
      <c r="P315" s="49">
        <v>6070</v>
      </c>
      <c r="Q315" s="49">
        <v>0</v>
      </c>
      <c r="R315" s="49">
        <v>40340</v>
      </c>
      <c r="S315" s="49">
        <v>1.72</v>
      </c>
      <c r="T315" s="49">
        <v>69384.800000000003</v>
      </c>
      <c r="X315" s="49" t="s">
        <v>743</v>
      </c>
      <c r="Y315" s="49" t="s">
        <v>744</v>
      </c>
      <c r="Z315" s="49" t="s">
        <v>745</v>
      </c>
      <c r="AA315" s="49" t="s">
        <v>746</v>
      </c>
      <c r="AB315" s="101" t="s">
        <v>747</v>
      </c>
    </row>
    <row r="316" spans="2:28" s="49" customFormat="1" x14ac:dyDescent="0.15">
      <c r="B316" s="137" t="s">
        <v>588</v>
      </c>
      <c r="C316" s="113">
        <v>43130.717361111114</v>
      </c>
      <c r="D316" s="49" t="s">
        <v>472</v>
      </c>
      <c r="E316" s="49">
        <v>180130030</v>
      </c>
      <c r="F316" s="49">
        <v>29</v>
      </c>
      <c r="G316" s="49">
        <v>1.5</v>
      </c>
      <c r="H316" s="49">
        <v>8</v>
      </c>
      <c r="I316" s="49">
        <v>0</v>
      </c>
      <c r="J316" s="49">
        <v>3</v>
      </c>
      <c r="K316" s="49">
        <v>84310</v>
      </c>
      <c r="L316" s="49">
        <v>16570</v>
      </c>
      <c r="M316" s="49">
        <v>339</v>
      </c>
      <c r="N316" s="49">
        <v>67740</v>
      </c>
      <c r="O316" s="49">
        <v>0</v>
      </c>
      <c r="P316" s="49">
        <v>12193</v>
      </c>
      <c r="Q316" s="49">
        <v>0</v>
      </c>
      <c r="R316" s="49">
        <v>55208</v>
      </c>
      <c r="S316" s="49">
        <v>1.72</v>
      </c>
      <c r="T316" s="49">
        <v>94957.759999999995</v>
      </c>
      <c r="X316" s="49" t="s">
        <v>748</v>
      </c>
      <c r="Y316" s="49" t="s">
        <v>477</v>
      </c>
      <c r="Z316" s="49" t="s">
        <v>749</v>
      </c>
      <c r="AA316" s="49" t="s">
        <v>691</v>
      </c>
      <c r="AB316" s="101" t="s">
        <v>692</v>
      </c>
    </row>
    <row r="317" spans="2:28" s="49" customFormat="1" x14ac:dyDescent="0.15">
      <c r="B317" s="137" t="s">
        <v>588</v>
      </c>
      <c r="C317" s="113">
        <v>43130.743055555555</v>
      </c>
      <c r="D317" s="49" t="s">
        <v>750</v>
      </c>
      <c r="E317" s="49">
        <v>180130036</v>
      </c>
      <c r="F317" s="49">
        <v>26.5</v>
      </c>
      <c r="G317" s="49">
        <v>1</v>
      </c>
      <c r="H317" s="49">
        <v>8</v>
      </c>
      <c r="I317" s="49">
        <v>0</v>
      </c>
      <c r="J317" s="49">
        <v>3</v>
      </c>
      <c r="K317" s="49">
        <v>50200</v>
      </c>
      <c r="L317" s="49">
        <v>13620</v>
      </c>
      <c r="M317" s="49">
        <v>0</v>
      </c>
      <c r="N317" s="49">
        <v>36580</v>
      </c>
      <c r="O317" s="49">
        <v>0</v>
      </c>
      <c r="P317" s="49">
        <v>5487</v>
      </c>
      <c r="Q317" s="49">
        <v>0</v>
      </c>
      <c r="R317" s="49">
        <v>31093</v>
      </c>
      <c r="S317" s="49">
        <v>1.72</v>
      </c>
      <c r="T317" s="49">
        <v>53479.96</v>
      </c>
      <c r="X317" s="49" t="s">
        <v>751</v>
      </c>
      <c r="Y317" s="49" t="s">
        <v>752</v>
      </c>
      <c r="Z317" s="49" t="s">
        <v>753</v>
      </c>
      <c r="AA317" s="49" t="s">
        <v>643</v>
      </c>
      <c r="AB317" s="101" t="s">
        <v>754</v>
      </c>
    </row>
    <row r="318" spans="2:28" s="49" customFormat="1" x14ac:dyDescent="0.15">
      <c r="B318" s="137" t="s">
        <v>588</v>
      </c>
      <c r="C318" s="113">
        <v>43130.74722222222</v>
      </c>
      <c r="D318" s="49" t="s">
        <v>755</v>
      </c>
      <c r="E318" s="49">
        <v>180130029</v>
      </c>
      <c r="F318" s="49">
        <v>28.7</v>
      </c>
      <c r="G318" s="49">
        <v>1</v>
      </c>
      <c r="H318" s="49">
        <v>8</v>
      </c>
      <c r="I318" s="49">
        <v>0</v>
      </c>
      <c r="J318" s="49">
        <v>3</v>
      </c>
      <c r="K318" s="49">
        <v>82300</v>
      </c>
      <c r="L318" s="49">
        <v>17410</v>
      </c>
      <c r="M318" s="49">
        <v>0</v>
      </c>
      <c r="N318" s="49">
        <v>64890</v>
      </c>
      <c r="O318" s="49">
        <v>0</v>
      </c>
      <c r="P318" s="49">
        <v>11447</v>
      </c>
      <c r="Q318" s="49">
        <v>0</v>
      </c>
      <c r="R318" s="49">
        <v>53443</v>
      </c>
      <c r="S318" s="49">
        <v>1.72</v>
      </c>
      <c r="T318" s="49">
        <v>91921.959999999992</v>
      </c>
      <c r="X318" s="49" t="s">
        <v>748</v>
      </c>
      <c r="Y318" s="49" t="s">
        <v>477</v>
      </c>
      <c r="Z318" s="49" t="s">
        <v>749</v>
      </c>
      <c r="AA318" s="49" t="s">
        <v>691</v>
      </c>
      <c r="AB318" s="101" t="s">
        <v>692</v>
      </c>
    </row>
    <row r="319" spans="2:28" s="49" customFormat="1" x14ac:dyDescent="0.15">
      <c r="B319" s="137" t="s">
        <v>588</v>
      </c>
      <c r="C319" s="113">
        <v>43130.760416666664</v>
      </c>
      <c r="D319" s="49" t="s">
        <v>756</v>
      </c>
      <c r="E319" s="49">
        <v>180130039</v>
      </c>
      <c r="F319" s="49">
        <v>29.2</v>
      </c>
      <c r="G319" s="49">
        <v>1</v>
      </c>
      <c r="H319" s="49">
        <v>8</v>
      </c>
      <c r="I319" s="49">
        <v>0</v>
      </c>
      <c r="J319" s="49">
        <v>3</v>
      </c>
      <c r="K319" s="49">
        <v>45690</v>
      </c>
      <c r="L319" s="49">
        <v>15260</v>
      </c>
      <c r="M319" s="49">
        <v>0</v>
      </c>
      <c r="N319" s="49">
        <v>30430</v>
      </c>
      <c r="O319" s="49">
        <v>0</v>
      </c>
      <c r="P319" s="49">
        <v>5550</v>
      </c>
      <c r="Q319" s="49">
        <v>0</v>
      </c>
      <c r="R319" s="49">
        <v>24880</v>
      </c>
      <c r="S319" s="49">
        <v>1.72</v>
      </c>
      <c r="T319" s="49">
        <v>42793.599999999999</v>
      </c>
      <c r="X319" s="49" t="s">
        <v>757</v>
      </c>
      <c r="Y319" s="49" t="s">
        <v>758</v>
      </c>
      <c r="Z319" s="49" t="s">
        <v>361</v>
      </c>
      <c r="AA319" s="49" t="s">
        <v>640</v>
      </c>
      <c r="AB319" s="101" t="s">
        <v>759</v>
      </c>
    </row>
    <row r="320" spans="2:28" s="49" customFormat="1" x14ac:dyDescent="0.15">
      <c r="B320" s="137" t="s">
        <v>588</v>
      </c>
      <c r="C320" s="113">
        <v>43130.76458333333</v>
      </c>
      <c r="D320" s="49" t="s">
        <v>760</v>
      </c>
      <c r="E320" s="49">
        <v>180130037</v>
      </c>
      <c r="F320" s="49">
        <v>24.1</v>
      </c>
      <c r="G320" s="49">
        <v>1</v>
      </c>
      <c r="H320" s="49">
        <v>7</v>
      </c>
      <c r="I320" s="49">
        <v>0</v>
      </c>
      <c r="J320" s="49">
        <v>2</v>
      </c>
      <c r="K320" s="49">
        <v>30690</v>
      </c>
      <c r="L320" s="49">
        <v>7110</v>
      </c>
      <c r="M320" s="49">
        <v>0</v>
      </c>
      <c r="N320" s="49">
        <v>23580</v>
      </c>
      <c r="O320" s="49">
        <v>0</v>
      </c>
      <c r="P320" s="49">
        <v>2858</v>
      </c>
      <c r="Q320" s="49">
        <v>0</v>
      </c>
      <c r="R320" s="49">
        <v>20722</v>
      </c>
      <c r="S320" s="49">
        <v>1.72</v>
      </c>
      <c r="T320" s="49">
        <v>35641.839999999997</v>
      </c>
      <c r="X320" s="49" t="s">
        <v>761</v>
      </c>
      <c r="Y320" s="49" t="s">
        <v>762</v>
      </c>
      <c r="Z320" s="49" t="s">
        <v>763</v>
      </c>
      <c r="AA320" s="49" t="s">
        <v>643</v>
      </c>
      <c r="AB320" s="101" t="s">
        <v>764</v>
      </c>
    </row>
    <row r="321" spans="2:28" s="49" customFormat="1" x14ac:dyDescent="0.15">
      <c r="B321" s="137" t="s">
        <v>588</v>
      </c>
      <c r="C321" s="113">
        <v>43130.791666666664</v>
      </c>
      <c r="D321" s="49" t="s">
        <v>455</v>
      </c>
      <c r="E321" s="49">
        <v>180130038</v>
      </c>
      <c r="F321" s="49">
        <v>25.6</v>
      </c>
      <c r="G321" s="49">
        <v>1</v>
      </c>
      <c r="H321" s="49">
        <v>8</v>
      </c>
      <c r="I321" s="49">
        <v>0</v>
      </c>
      <c r="J321" s="49">
        <v>3</v>
      </c>
      <c r="K321" s="49">
        <v>93340</v>
      </c>
      <c r="L321" s="49">
        <v>20900</v>
      </c>
      <c r="M321" s="49">
        <v>0</v>
      </c>
      <c r="N321" s="49">
        <v>72440</v>
      </c>
      <c r="O321" s="49">
        <v>0</v>
      </c>
      <c r="P321" s="49">
        <v>10084</v>
      </c>
      <c r="Q321" s="49">
        <v>0</v>
      </c>
      <c r="R321" s="49">
        <v>62356</v>
      </c>
      <c r="S321" s="49">
        <v>1.72</v>
      </c>
      <c r="T321" s="49">
        <v>107252.31999999999</v>
      </c>
      <c r="X321" s="49" t="s">
        <v>469</v>
      </c>
      <c r="Y321" s="49" t="s">
        <v>470</v>
      </c>
      <c r="Z321" s="49" t="s">
        <v>471</v>
      </c>
      <c r="AA321" s="49" t="s">
        <v>643</v>
      </c>
      <c r="AB321" s="101" t="s">
        <v>688</v>
      </c>
    </row>
    <row r="322" spans="2:28" s="49" customFormat="1" x14ac:dyDescent="0.15">
      <c r="B322" s="137"/>
      <c r="C322" s="113"/>
      <c r="AB322" s="101"/>
    </row>
    <row r="323" spans="2:28" s="49" customFormat="1" x14ac:dyDescent="0.15">
      <c r="B323" s="137" t="s">
        <v>588</v>
      </c>
      <c r="C323" s="113">
        <v>43131.394444444442</v>
      </c>
      <c r="D323" s="49" t="s">
        <v>513</v>
      </c>
      <c r="E323" s="49">
        <v>180131004</v>
      </c>
      <c r="F323" s="49">
        <v>23.6</v>
      </c>
      <c r="G323" s="49">
        <v>1</v>
      </c>
      <c r="H323" s="49">
        <v>9</v>
      </c>
      <c r="I323" s="49">
        <v>0</v>
      </c>
      <c r="J323" s="49">
        <v>4</v>
      </c>
      <c r="K323" s="49">
        <v>75570</v>
      </c>
      <c r="L323" s="49">
        <v>21130</v>
      </c>
      <c r="M323" s="49">
        <v>0</v>
      </c>
      <c r="N323" s="49">
        <v>54440</v>
      </c>
      <c r="O323" s="49">
        <v>0</v>
      </c>
      <c r="P323" s="49">
        <v>6271</v>
      </c>
      <c r="Q323" s="49">
        <v>0</v>
      </c>
      <c r="R323" s="49">
        <v>48169</v>
      </c>
      <c r="S323" s="49">
        <v>1.72</v>
      </c>
      <c r="T323" s="49">
        <v>82850.679999999993</v>
      </c>
      <c r="X323" s="49" t="s">
        <v>510</v>
      </c>
      <c r="Y323" s="49" t="s">
        <v>511</v>
      </c>
      <c r="Z323" s="49" t="s">
        <v>512</v>
      </c>
      <c r="AA323" s="49" t="s">
        <v>665</v>
      </c>
      <c r="AB323" s="101" t="s">
        <v>701</v>
      </c>
    </row>
    <row r="324" spans="2:28" s="49" customFormat="1" x14ac:dyDescent="0.15">
      <c r="B324" s="137" t="s">
        <v>588</v>
      </c>
      <c r="C324" s="113">
        <v>43131.427083333336</v>
      </c>
      <c r="D324" s="49" t="s">
        <v>765</v>
      </c>
      <c r="E324" s="49">
        <v>180131002</v>
      </c>
      <c r="F324" s="49">
        <v>28</v>
      </c>
      <c r="G324" s="49">
        <v>1</v>
      </c>
      <c r="H324" s="49">
        <v>8</v>
      </c>
      <c r="I324" s="49">
        <v>0</v>
      </c>
      <c r="J324" s="49">
        <v>3</v>
      </c>
      <c r="K324" s="49">
        <v>81970</v>
      </c>
      <c r="L324" s="49">
        <v>17670</v>
      </c>
      <c r="M324" s="49">
        <v>0</v>
      </c>
      <c r="N324" s="49">
        <v>64300</v>
      </c>
      <c r="O324" s="49">
        <v>0</v>
      </c>
      <c r="P324" s="49">
        <v>10802</v>
      </c>
      <c r="Q324" s="49">
        <v>0</v>
      </c>
      <c r="R324" s="49">
        <v>53498</v>
      </c>
      <c r="S324" s="49">
        <v>1.72</v>
      </c>
      <c r="T324" s="49">
        <v>92016.56</v>
      </c>
      <c r="X324" s="49" t="s">
        <v>766</v>
      </c>
      <c r="Y324" s="49" t="s">
        <v>767</v>
      </c>
      <c r="Z324" s="49" t="s">
        <v>768</v>
      </c>
      <c r="AA324" s="49" t="s">
        <v>643</v>
      </c>
      <c r="AB324" s="101" t="s">
        <v>769</v>
      </c>
    </row>
    <row r="325" spans="2:28" s="49" customFormat="1" x14ac:dyDescent="0.15">
      <c r="B325" s="137" t="s">
        <v>588</v>
      </c>
      <c r="C325" s="113">
        <v>43131.461805555555</v>
      </c>
      <c r="D325" s="49" t="s">
        <v>770</v>
      </c>
      <c r="E325" s="49">
        <v>180131006</v>
      </c>
      <c r="F325" s="49">
        <v>28.5</v>
      </c>
      <c r="G325" s="49">
        <v>2</v>
      </c>
      <c r="H325" s="49">
        <v>8</v>
      </c>
      <c r="I325" s="49">
        <v>0</v>
      </c>
      <c r="J325" s="49">
        <v>3</v>
      </c>
      <c r="K325" s="49">
        <v>89990</v>
      </c>
      <c r="L325" s="49">
        <v>20070</v>
      </c>
      <c r="M325" s="49">
        <v>699</v>
      </c>
      <c r="N325" s="49">
        <v>69920</v>
      </c>
      <c r="O325" s="49">
        <v>0</v>
      </c>
      <c r="P325" s="49">
        <v>12166</v>
      </c>
      <c r="Q325" s="49">
        <v>0</v>
      </c>
      <c r="R325" s="49">
        <v>57055</v>
      </c>
      <c r="S325" s="49">
        <v>1.72</v>
      </c>
      <c r="T325" s="49">
        <v>98134.599999999991</v>
      </c>
      <c r="X325" s="49" t="s">
        <v>771</v>
      </c>
      <c r="Y325" s="49" t="s">
        <v>255</v>
      </c>
      <c r="Z325" s="49" t="s">
        <v>772</v>
      </c>
      <c r="AA325" s="49" t="s">
        <v>640</v>
      </c>
      <c r="AB325" s="101" t="s">
        <v>631</v>
      </c>
    </row>
    <row r="326" spans="2:28" s="49" customFormat="1" x14ac:dyDescent="0.15">
      <c r="B326" s="137" t="s">
        <v>588</v>
      </c>
      <c r="C326" s="113">
        <v>43131.466666666667</v>
      </c>
      <c r="D326" s="49" t="s">
        <v>773</v>
      </c>
      <c r="E326" s="49">
        <v>180131005</v>
      </c>
      <c r="F326" s="49">
        <v>28.1</v>
      </c>
      <c r="G326" s="49">
        <v>1.5</v>
      </c>
      <c r="H326" s="49">
        <v>8</v>
      </c>
      <c r="I326" s="49">
        <v>0</v>
      </c>
      <c r="J326" s="49">
        <v>3</v>
      </c>
      <c r="K326" s="49">
        <v>90030</v>
      </c>
      <c r="L326" s="49">
        <v>21120</v>
      </c>
      <c r="M326" s="49">
        <v>345</v>
      </c>
      <c r="N326" s="49">
        <v>68910</v>
      </c>
      <c r="O326" s="49">
        <v>0</v>
      </c>
      <c r="P326" s="49">
        <v>11660</v>
      </c>
      <c r="Q326" s="49">
        <v>0</v>
      </c>
      <c r="R326" s="49">
        <v>56905</v>
      </c>
      <c r="S326" s="49">
        <v>1.72</v>
      </c>
      <c r="T326" s="49">
        <v>97876.599999999991</v>
      </c>
      <c r="X326" s="49" t="s">
        <v>771</v>
      </c>
      <c r="Y326" s="49" t="s">
        <v>255</v>
      </c>
      <c r="Z326" s="49" t="s">
        <v>772</v>
      </c>
      <c r="AA326" s="49" t="s">
        <v>640</v>
      </c>
      <c r="AB326" s="101" t="s">
        <v>631</v>
      </c>
    </row>
    <row r="327" spans="2:28" s="49" customFormat="1" x14ac:dyDescent="0.15">
      <c r="B327" s="137" t="s">
        <v>588</v>
      </c>
      <c r="C327" s="113">
        <v>43131.504861111112</v>
      </c>
      <c r="D327" s="49" t="s">
        <v>774</v>
      </c>
      <c r="E327" s="49">
        <v>180131007</v>
      </c>
      <c r="F327" s="49">
        <v>28.6</v>
      </c>
      <c r="G327" s="49">
        <v>1</v>
      </c>
      <c r="H327" s="49">
        <v>8</v>
      </c>
      <c r="I327" s="49">
        <v>0</v>
      </c>
      <c r="J327" s="49">
        <v>3</v>
      </c>
      <c r="K327" s="49">
        <v>87700</v>
      </c>
      <c r="L327" s="49">
        <v>20550</v>
      </c>
      <c r="M327" s="49">
        <v>0</v>
      </c>
      <c r="N327" s="49">
        <v>67150</v>
      </c>
      <c r="O327" s="49">
        <v>0</v>
      </c>
      <c r="P327" s="49">
        <v>11765</v>
      </c>
      <c r="Q327" s="49">
        <v>0</v>
      </c>
      <c r="R327" s="49">
        <v>55385</v>
      </c>
      <c r="S327" s="49">
        <v>1.72</v>
      </c>
      <c r="T327" s="49">
        <v>95262.2</v>
      </c>
      <c r="X327" s="49" t="s">
        <v>771</v>
      </c>
      <c r="Y327" s="49" t="s">
        <v>255</v>
      </c>
      <c r="Z327" s="49" t="s">
        <v>772</v>
      </c>
      <c r="AA327" s="49" t="s">
        <v>640</v>
      </c>
      <c r="AB327" s="101" t="s">
        <v>631</v>
      </c>
    </row>
    <row r="328" spans="2:28" s="49" customFormat="1" x14ac:dyDescent="0.15">
      <c r="B328" s="137" t="s">
        <v>588</v>
      </c>
      <c r="C328" s="113">
        <v>43131.509027777778</v>
      </c>
      <c r="D328" s="49" t="s">
        <v>775</v>
      </c>
      <c r="E328" s="49">
        <v>180131010</v>
      </c>
      <c r="F328" s="49">
        <v>25.4</v>
      </c>
      <c r="G328" s="49">
        <v>1</v>
      </c>
      <c r="H328" s="49">
        <v>9</v>
      </c>
      <c r="I328" s="49">
        <v>0</v>
      </c>
      <c r="J328" s="49">
        <v>4</v>
      </c>
      <c r="K328" s="49">
        <v>38260</v>
      </c>
      <c r="L328" s="49">
        <v>8870</v>
      </c>
      <c r="M328" s="49">
        <v>0</v>
      </c>
      <c r="N328" s="49">
        <v>29390</v>
      </c>
      <c r="O328" s="49">
        <v>0</v>
      </c>
      <c r="P328" s="49">
        <v>4021</v>
      </c>
      <c r="Q328" s="49">
        <v>0</v>
      </c>
      <c r="R328" s="49">
        <v>25369</v>
      </c>
      <c r="S328" s="49">
        <v>1.72</v>
      </c>
      <c r="T328" s="49">
        <v>43634.68</v>
      </c>
      <c r="X328" s="49" t="s">
        <v>776</v>
      </c>
      <c r="Y328" s="49" t="s">
        <v>777</v>
      </c>
      <c r="Z328" s="49" t="s">
        <v>778</v>
      </c>
      <c r="AA328" s="49" t="s">
        <v>779</v>
      </c>
      <c r="AB328" s="101" t="s">
        <v>780</v>
      </c>
    </row>
    <row r="329" spans="2:28" s="49" customFormat="1" x14ac:dyDescent="0.15">
      <c r="B329" s="137" t="s">
        <v>588</v>
      </c>
      <c r="C329" s="113">
        <v>43131.513888888891</v>
      </c>
      <c r="D329" s="49" t="s">
        <v>781</v>
      </c>
      <c r="E329" s="49">
        <v>180131009</v>
      </c>
      <c r="F329" s="49">
        <v>29.5</v>
      </c>
      <c r="G329" s="49">
        <v>1</v>
      </c>
      <c r="H329" s="49">
        <v>10</v>
      </c>
      <c r="I329" s="49">
        <v>4</v>
      </c>
      <c r="J329" s="49">
        <v>5</v>
      </c>
      <c r="K329" s="49">
        <v>52400</v>
      </c>
      <c r="L329" s="49">
        <v>14020</v>
      </c>
      <c r="M329" s="49">
        <v>0</v>
      </c>
      <c r="N329" s="49">
        <v>38380</v>
      </c>
      <c r="O329" s="49">
        <v>0</v>
      </c>
      <c r="P329" s="49">
        <v>7139</v>
      </c>
      <c r="Q329" s="49">
        <v>192</v>
      </c>
      <c r="R329" s="49">
        <v>31049</v>
      </c>
      <c r="S329" s="49">
        <v>1.72</v>
      </c>
      <c r="T329" s="49">
        <v>53404.28</v>
      </c>
      <c r="X329" s="49" t="s">
        <v>776</v>
      </c>
      <c r="Y329" s="49" t="s">
        <v>777</v>
      </c>
      <c r="Z329" s="49" t="s">
        <v>778</v>
      </c>
      <c r="AA329" s="49" t="s">
        <v>779</v>
      </c>
      <c r="AB329" s="101" t="s">
        <v>780</v>
      </c>
    </row>
    <row r="330" spans="2:28" s="49" customFormat="1" x14ac:dyDescent="0.15">
      <c r="B330" s="137" t="s">
        <v>588</v>
      </c>
      <c r="C330" s="113">
        <v>43131.520138888889</v>
      </c>
      <c r="D330" s="49" t="s">
        <v>362</v>
      </c>
      <c r="E330" s="49">
        <v>180131011</v>
      </c>
      <c r="F330" s="49">
        <v>25</v>
      </c>
      <c r="G330" s="49">
        <v>1</v>
      </c>
      <c r="H330" s="49">
        <v>10</v>
      </c>
      <c r="I330" s="49">
        <v>3</v>
      </c>
      <c r="J330" s="49">
        <v>5</v>
      </c>
      <c r="K330" s="49">
        <v>54490</v>
      </c>
      <c r="L330" s="49">
        <v>11820</v>
      </c>
      <c r="M330" s="49">
        <v>0</v>
      </c>
      <c r="N330" s="49">
        <v>42670</v>
      </c>
      <c r="O330" s="49">
        <v>0</v>
      </c>
      <c r="P330" s="49">
        <v>5632</v>
      </c>
      <c r="Q330" s="49">
        <v>0</v>
      </c>
      <c r="R330" s="49">
        <v>37038</v>
      </c>
      <c r="S330" s="49">
        <v>1.72</v>
      </c>
      <c r="T330" s="49">
        <v>63705.36</v>
      </c>
      <c r="X330" s="49" t="s">
        <v>359</v>
      </c>
      <c r="Y330" s="49" t="s">
        <v>360</v>
      </c>
      <c r="Z330" s="49" t="s">
        <v>361</v>
      </c>
      <c r="AA330" s="49" t="s">
        <v>640</v>
      </c>
      <c r="AB330" s="101" t="s">
        <v>660</v>
      </c>
    </row>
    <row r="331" spans="2:28" s="49" customFormat="1" x14ac:dyDescent="0.15">
      <c r="B331" s="137" t="s">
        <v>588</v>
      </c>
      <c r="C331" s="113">
        <v>43131.534722222219</v>
      </c>
      <c r="D331" s="49" t="s">
        <v>782</v>
      </c>
      <c r="E331" s="49">
        <v>180131012</v>
      </c>
      <c r="F331" s="49">
        <v>28.8</v>
      </c>
      <c r="G331" s="49">
        <v>1</v>
      </c>
      <c r="H331" s="49">
        <v>8</v>
      </c>
      <c r="I331" s="49">
        <v>0</v>
      </c>
      <c r="J331" s="49">
        <v>3</v>
      </c>
      <c r="K331" s="49">
        <v>41990</v>
      </c>
      <c r="L331" s="49">
        <v>12030</v>
      </c>
      <c r="M331" s="49">
        <v>0</v>
      </c>
      <c r="N331" s="49">
        <v>29960</v>
      </c>
      <c r="O331" s="49">
        <v>0</v>
      </c>
      <c r="P331" s="49">
        <v>5321</v>
      </c>
      <c r="Q331" s="49">
        <v>0</v>
      </c>
      <c r="R331" s="49">
        <v>24639</v>
      </c>
      <c r="S331" s="49">
        <v>1.72</v>
      </c>
      <c r="T331" s="49">
        <v>42379.08</v>
      </c>
      <c r="X331" s="49" t="s">
        <v>359</v>
      </c>
      <c r="Y331" s="49" t="s">
        <v>360</v>
      </c>
      <c r="Z331" s="49" t="s">
        <v>361</v>
      </c>
      <c r="AA331" s="49" t="s">
        <v>640</v>
      </c>
      <c r="AB331" s="101" t="s">
        <v>660</v>
      </c>
    </row>
    <row r="332" spans="2:28" s="49" customFormat="1" x14ac:dyDescent="0.15">
      <c r="B332" s="137" t="s">
        <v>588</v>
      </c>
      <c r="C332" s="113">
        <v>43131.538888888892</v>
      </c>
      <c r="D332" s="49" t="s">
        <v>509</v>
      </c>
      <c r="E332" s="49">
        <v>180131008</v>
      </c>
      <c r="F332" s="49">
        <v>24</v>
      </c>
      <c r="G332" s="49">
        <v>1.2</v>
      </c>
      <c r="H332" s="49">
        <v>8</v>
      </c>
      <c r="I332" s="49">
        <v>0</v>
      </c>
      <c r="J332" s="49">
        <v>3</v>
      </c>
      <c r="K332" s="49">
        <v>84230</v>
      </c>
      <c r="L332" s="49">
        <v>17290</v>
      </c>
      <c r="M332" s="49">
        <v>134</v>
      </c>
      <c r="N332" s="49">
        <v>66940</v>
      </c>
      <c r="O332" s="49">
        <v>0</v>
      </c>
      <c r="P332" s="49">
        <v>8033</v>
      </c>
      <c r="Q332" s="49">
        <v>0</v>
      </c>
      <c r="R332" s="49">
        <v>58773</v>
      </c>
      <c r="S332" s="49">
        <v>1.72</v>
      </c>
      <c r="T332" s="49">
        <v>101089.56</v>
      </c>
      <c r="X332" s="49" t="s">
        <v>506</v>
      </c>
      <c r="Y332" s="49" t="s">
        <v>507</v>
      </c>
      <c r="Z332" s="49" t="s">
        <v>508</v>
      </c>
      <c r="AA332" s="49" t="s">
        <v>643</v>
      </c>
      <c r="AB332" s="101" t="s">
        <v>700</v>
      </c>
    </row>
    <row r="333" spans="2:28" s="49" customFormat="1" x14ac:dyDescent="0.15">
      <c r="B333" s="137" t="s">
        <v>588</v>
      </c>
      <c r="C333" s="113">
        <v>43131.54583333333</v>
      </c>
      <c r="D333" s="49" t="s">
        <v>504</v>
      </c>
      <c r="E333" s="49">
        <v>180131013</v>
      </c>
      <c r="F333" s="49">
        <v>27.5</v>
      </c>
      <c r="G333" s="49">
        <v>1</v>
      </c>
      <c r="H333" s="49">
        <v>8</v>
      </c>
      <c r="I333" s="49">
        <v>0</v>
      </c>
      <c r="J333" s="49">
        <v>3</v>
      </c>
      <c r="K333" s="49">
        <v>41320</v>
      </c>
      <c r="L333" s="49">
        <v>9940</v>
      </c>
      <c r="M333" s="49">
        <v>0</v>
      </c>
      <c r="N333" s="49">
        <v>31380</v>
      </c>
      <c r="O333" s="49">
        <v>0</v>
      </c>
      <c r="P333" s="49">
        <v>5084</v>
      </c>
      <c r="Q333" s="49">
        <v>0</v>
      </c>
      <c r="R333" s="49">
        <v>26296</v>
      </c>
      <c r="S333" s="49">
        <v>1.72</v>
      </c>
      <c r="T333" s="49">
        <v>45229.120000000003</v>
      </c>
      <c r="X333" s="49" t="s">
        <v>783</v>
      </c>
      <c r="Y333" s="49" t="s">
        <v>784</v>
      </c>
      <c r="Z333" s="49" t="s">
        <v>714</v>
      </c>
      <c r="AA333" s="49" t="s">
        <v>698</v>
      </c>
      <c r="AB333" s="101" t="s">
        <v>785</v>
      </c>
    </row>
    <row r="334" spans="2:28" s="49" customFormat="1" x14ac:dyDescent="0.15">
      <c r="B334" s="137" t="s">
        <v>588</v>
      </c>
      <c r="C334" s="113">
        <v>43131.582638888889</v>
      </c>
      <c r="D334" s="49" t="s">
        <v>505</v>
      </c>
      <c r="E334" s="49">
        <v>180131014</v>
      </c>
      <c r="F334" s="49">
        <v>27.2</v>
      </c>
      <c r="G334" s="49">
        <v>1</v>
      </c>
      <c r="H334" s="49">
        <v>8</v>
      </c>
      <c r="I334" s="49">
        <v>0</v>
      </c>
      <c r="J334" s="49">
        <v>3</v>
      </c>
      <c r="K334" s="49">
        <v>54240</v>
      </c>
      <c r="L334" s="49">
        <v>12350</v>
      </c>
      <c r="M334" s="49">
        <v>0</v>
      </c>
      <c r="N334" s="49">
        <v>41890</v>
      </c>
      <c r="O334" s="49">
        <v>0</v>
      </c>
      <c r="P334" s="49">
        <v>6635</v>
      </c>
      <c r="Q334" s="49">
        <v>0</v>
      </c>
      <c r="R334" s="49">
        <v>35255</v>
      </c>
      <c r="S334" s="49">
        <v>1.72</v>
      </c>
      <c r="T334" s="49">
        <v>60638.6</v>
      </c>
      <c r="X334" s="49" t="s">
        <v>783</v>
      </c>
      <c r="Y334" s="49" t="s">
        <v>784</v>
      </c>
      <c r="Z334" s="49" t="s">
        <v>714</v>
      </c>
      <c r="AA334" s="49" t="s">
        <v>698</v>
      </c>
      <c r="AB334" s="101" t="s">
        <v>785</v>
      </c>
    </row>
    <row r="335" spans="2:28" s="49" customFormat="1" x14ac:dyDescent="0.15">
      <c r="B335" s="137" t="s">
        <v>588</v>
      </c>
      <c r="C335" s="113">
        <v>43131.602083333331</v>
      </c>
      <c r="D335" s="49" t="s">
        <v>560</v>
      </c>
      <c r="E335" s="49">
        <v>180131015</v>
      </c>
      <c r="F335" s="49">
        <v>27.2</v>
      </c>
      <c r="G335" s="49">
        <v>1.5</v>
      </c>
      <c r="H335" s="49">
        <v>8</v>
      </c>
      <c r="I335" s="49">
        <v>0</v>
      </c>
      <c r="J335" s="49">
        <v>3</v>
      </c>
      <c r="K335" s="49">
        <v>92160</v>
      </c>
      <c r="L335" s="49">
        <v>20770</v>
      </c>
      <c r="M335" s="49">
        <v>357</v>
      </c>
      <c r="N335" s="49">
        <v>71390</v>
      </c>
      <c r="O335" s="49">
        <v>0</v>
      </c>
      <c r="P335" s="49">
        <v>11308</v>
      </c>
      <c r="Q335" s="49">
        <v>0</v>
      </c>
      <c r="R335" s="49">
        <v>59725</v>
      </c>
      <c r="S335" s="49">
        <v>1.72</v>
      </c>
      <c r="T335" s="49">
        <v>102727</v>
      </c>
      <c r="X335" s="49" t="s">
        <v>748</v>
      </c>
      <c r="Y335" s="49" t="s">
        <v>477</v>
      </c>
      <c r="Z335" s="49" t="s">
        <v>749</v>
      </c>
      <c r="AA335" s="49" t="s">
        <v>786</v>
      </c>
      <c r="AB335" s="101" t="s">
        <v>692</v>
      </c>
    </row>
    <row r="336" spans="2:28" s="49" customFormat="1" x14ac:dyDescent="0.15">
      <c r="B336" s="137" t="s">
        <v>588</v>
      </c>
      <c r="C336" s="113">
        <v>43131.64166666667</v>
      </c>
      <c r="D336" s="49" t="s">
        <v>575</v>
      </c>
      <c r="E336" s="49">
        <v>180131021</v>
      </c>
      <c r="F336" s="49">
        <v>23.7</v>
      </c>
      <c r="G336" s="49">
        <v>1.5</v>
      </c>
      <c r="H336" s="49">
        <v>8</v>
      </c>
      <c r="I336" s="49">
        <v>0</v>
      </c>
      <c r="J336" s="49">
        <v>4</v>
      </c>
      <c r="K336" s="49">
        <v>88590</v>
      </c>
      <c r="L336" s="49">
        <v>21180</v>
      </c>
      <c r="M336" s="49">
        <v>337</v>
      </c>
      <c r="N336" s="49">
        <v>67410</v>
      </c>
      <c r="O336" s="49">
        <v>0</v>
      </c>
      <c r="P336" s="49">
        <v>7847</v>
      </c>
      <c r="Q336" s="49">
        <v>0</v>
      </c>
      <c r="R336" s="49">
        <v>59226</v>
      </c>
      <c r="S336" s="49">
        <v>1.72</v>
      </c>
      <c r="T336" s="49">
        <v>101868.72</v>
      </c>
      <c r="X336" s="49" t="s">
        <v>572</v>
      </c>
      <c r="Y336" s="49" t="s">
        <v>573</v>
      </c>
      <c r="Z336" s="49" t="s">
        <v>574</v>
      </c>
      <c r="AA336" s="49" t="s">
        <v>643</v>
      </c>
      <c r="AB336" s="101" t="s">
        <v>711</v>
      </c>
    </row>
    <row r="337" spans="2:28" s="49" customFormat="1" x14ac:dyDescent="0.15">
      <c r="B337" s="137" t="s">
        <v>588</v>
      </c>
      <c r="C337" s="113">
        <v>43131.666666666664</v>
      </c>
      <c r="D337" s="49" t="s">
        <v>544</v>
      </c>
      <c r="E337" s="49">
        <v>180131027</v>
      </c>
      <c r="F337" s="49">
        <v>31.1</v>
      </c>
      <c r="G337" s="49">
        <v>1</v>
      </c>
      <c r="H337" s="49">
        <v>9</v>
      </c>
      <c r="I337" s="49">
        <v>2</v>
      </c>
      <c r="J337" s="49">
        <v>5</v>
      </c>
      <c r="K337" s="49">
        <v>60030</v>
      </c>
      <c r="L337" s="49">
        <v>13690</v>
      </c>
      <c r="M337" s="49">
        <v>0</v>
      </c>
      <c r="N337" s="49">
        <v>46340</v>
      </c>
      <c r="O337" s="49">
        <v>0</v>
      </c>
      <c r="P337" s="49">
        <v>9509</v>
      </c>
      <c r="Q337" s="49">
        <v>0</v>
      </c>
      <c r="R337" s="49">
        <v>36831</v>
      </c>
      <c r="S337" s="49">
        <v>1.72</v>
      </c>
      <c r="T337" s="49">
        <v>63349.32</v>
      </c>
      <c r="X337" s="49" t="s">
        <v>787</v>
      </c>
      <c r="Y337" s="49" t="s">
        <v>788</v>
      </c>
      <c r="Z337" s="49" t="s">
        <v>789</v>
      </c>
      <c r="AA337" s="49" t="s">
        <v>643</v>
      </c>
      <c r="AB337" s="101" t="s">
        <v>790</v>
      </c>
    </row>
    <row r="338" spans="2:28" s="49" customFormat="1" x14ac:dyDescent="0.15">
      <c r="B338" s="137" t="s">
        <v>588</v>
      </c>
      <c r="C338" s="113">
        <v>43131.673611111109</v>
      </c>
      <c r="D338" s="49" t="s">
        <v>791</v>
      </c>
      <c r="E338" s="49">
        <v>180131028</v>
      </c>
      <c r="F338" s="49">
        <v>29.4</v>
      </c>
      <c r="G338" s="49">
        <v>1</v>
      </c>
      <c r="H338" s="49">
        <v>9</v>
      </c>
      <c r="I338" s="49">
        <v>0</v>
      </c>
      <c r="J338" s="49">
        <v>4</v>
      </c>
      <c r="K338" s="49">
        <v>37110</v>
      </c>
      <c r="L338" s="49">
        <v>9790</v>
      </c>
      <c r="M338" s="49">
        <v>0</v>
      </c>
      <c r="N338" s="49">
        <v>27320</v>
      </c>
      <c r="O338" s="49">
        <v>0</v>
      </c>
      <c r="P338" s="49">
        <v>5049</v>
      </c>
      <c r="Q338" s="49">
        <v>0</v>
      </c>
      <c r="R338" s="49">
        <v>22271</v>
      </c>
      <c r="S338" s="49">
        <v>1.72</v>
      </c>
      <c r="T338" s="49">
        <v>38306.120000000003</v>
      </c>
      <c r="X338" s="49" t="s">
        <v>792</v>
      </c>
      <c r="Y338" s="49" t="s">
        <v>793</v>
      </c>
      <c r="Z338" s="49" t="s">
        <v>794</v>
      </c>
      <c r="AA338" s="49" t="s">
        <v>643</v>
      </c>
      <c r="AB338" s="101" t="s">
        <v>795</v>
      </c>
    </row>
    <row r="339" spans="2:28" s="49" customFormat="1" x14ac:dyDescent="0.15">
      <c r="B339" s="137" t="s">
        <v>588</v>
      </c>
      <c r="C339" s="113">
        <v>43131.711805555555</v>
      </c>
      <c r="D339" s="49" t="s">
        <v>265</v>
      </c>
      <c r="E339" s="49">
        <v>180131025</v>
      </c>
      <c r="F339" s="49">
        <v>27.5</v>
      </c>
      <c r="G339" s="49">
        <v>1.2</v>
      </c>
      <c r="H339" s="49">
        <v>8</v>
      </c>
      <c r="I339" s="49">
        <v>0</v>
      </c>
      <c r="J339" s="49">
        <v>3</v>
      </c>
      <c r="K339" s="49">
        <v>81240</v>
      </c>
      <c r="L339" s="49">
        <v>16970</v>
      </c>
      <c r="M339" s="49">
        <v>129</v>
      </c>
      <c r="N339" s="49">
        <v>64270</v>
      </c>
      <c r="O339" s="49">
        <v>0</v>
      </c>
      <c r="P339" s="49">
        <v>10412</v>
      </c>
      <c r="Q339" s="49">
        <v>0</v>
      </c>
      <c r="R339" s="49">
        <v>53729</v>
      </c>
      <c r="S339" s="49">
        <v>1.72</v>
      </c>
      <c r="T339" s="49">
        <v>92413.88</v>
      </c>
      <c r="X339" s="49" t="s">
        <v>547</v>
      </c>
      <c r="Y339" s="49" t="s">
        <v>548</v>
      </c>
      <c r="Z339" s="49" t="s">
        <v>533</v>
      </c>
      <c r="AA339" s="49" t="s">
        <v>643</v>
      </c>
      <c r="AB339" s="101" t="s">
        <v>705</v>
      </c>
    </row>
    <row r="340" spans="2:28" s="49" customFormat="1" x14ac:dyDescent="0.15">
      <c r="B340" s="137" t="s">
        <v>588</v>
      </c>
      <c r="C340" s="113">
        <v>43131.71597222222</v>
      </c>
      <c r="D340" s="49" t="s">
        <v>232</v>
      </c>
      <c r="E340" s="49">
        <v>180131019</v>
      </c>
      <c r="F340" s="49">
        <v>26</v>
      </c>
      <c r="G340" s="49">
        <v>1</v>
      </c>
      <c r="H340" s="49">
        <v>8</v>
      </c>
      <c r="I340" s="49">
        <v>0</v>
      </c>
      <c r="J340" s="49">
        <v>3</v>
      </c>
      <c r="K340" s="49">
        <v>33390</v>
      </c>
      <c r="L340" s="49">
        <v>12030</v>
      </c>
      <c r="M340" s="49">
        <v>0</v>
      </c>
      <c r="N340" s="49">
        <v>21360</v>
      </c>
      <c r="O340" s="49">
        <v>0</v>
      </c>
      <c r="P340" s="49">
        <v>3076</v>
      </c>
      <c r="Q340" s="49">
        <v>0</v>
      </c>
      <c r="R340" s="49">
        <v>18284</v>
      </c>
      <c r="S340" s="49">
        <v>1.72</v>
      </c>
      <c r="T340" s="49">
        <v>31448.48</v>
      </c>
      <c r="X340" s="49" t="s">
        <v>796</v>
      </c>
      <c r="Y340" s="49" t="s">
        <v>797</v>
      </c>
      <c r="Z340" s="49" t="s">
        <v>798</v>
      </c>
      <c r="AA340" s="49" t="s">
        <v>643</v>
      </c>
      <c r="AB340" s="101" t="s">
        <v>799</v>
      </c>
    </row>
    <row r="341" spans="2:28" s="49" customFormat="1" x14ac:dyDescent="0.15">
      <c r="B341" s="137" t="s">
        <v>588</v>
      </c>
      <c r="C341" s="113">
        <v>43131.719444444447</v>
      </c>
      <c r="D341" s="49" t="s">
        <v>269</v>
      </c>
      <c r="E341" s="49">
        <v>180131026</v>
      </c>
      <c r="F341" s="49">
        <v>26.9</v>
      </c>
      <c r="G341" s="49">
        <v>1.5</v>
      </c>
      <c r="H341" s="49">
        <v>8</v>
      </c>
      <c r="I341" s="49">
        <v>0</v>
      </c>
      <c r="J341" s="49">
        <v>3</v>
      </c>
      <c r="K341" s="49">
        <v>91360</v>
      </c>
      <c r="L341" s="49">
        <v>19640</v>
      </c>
      <c r="M341" s="49">
        <v>359</v>
      </c>
      <c r="N341" s="49">
        <v>71720</v>
      </c>
      <c r="O341" s="49">
        <v>0</v>
      </c>
      <c r="P341" s="49">
        <v>11102</v>
      </c>
      <c r="Q341" s="49">
        <v>0</v>
      </c>
      <c r="R341" s="49">
        <v>60259</v>
      </c>
      <c r="S341" s="49">
        <v>1.72</v>
      </c>
      <c r="T341" s="49">
        <v>103645.48</v>
      </c>
      <c r="X341" s="49" t="s">
        <v>547</v>
      </c>
      <c r="Y341" s="49" t="s">
        <v>548</v>
      </c>
      <c r="Z341" s="49" t="s">
        <v>533</v>
      </c>
      <c r="AA341" s="49" t="s">
        <v>643</v>
      </c>
      <c r="AB341" s="101" t="s">
        <v>705</v>
      </c>
    </row>
    <row r="342" spans="2:28" s="49" customFormat="1" x14ac:dyDescent="0.15">
      <c r="B342" s="137" t="s">
        <v>588</v>
      </c>
      <c r="C342" s="113">
        <v>43131.722916666666</v>
      </c>
      <c r="D342" s="49" t="s">
        <v>800</v>
      </c>
      <c r="E342" s="49">
        <v>180131018</v>
      </c>
      <c r="F342" s="49">
        <v>25.4</v>
      </c>
      <c r="G342" s="49">
        <v>1</v>
      </c>
      <c r="H342" s="49">
        <v>8</v>
      </c>
      <c r="I342" s="49">
        <v>0</v>
      </c>
      <c r="J342" s="49">
        <v>3</v>
      </c>
      <c r="K342" s="49">
        <v>33350</v>
      </c>
      <c r="L342" s="49">
        <v>12110</v>
      </c>
      <c r="M342" s="49">
        <v>0</v>
      </c>
      <c r="N342" s="49">
        <v>21240</v>
      </c>
      <c r="O342" s="49">
        <v>0</v>
      </c>
      <c r="P342" s="49">
        <v>2906</v>
      </c>
      <c r="Q342" s="49">
        <v>0</v>
      </c>
      <c r="R342" s="49">
        <v>18334</v>
      </c>
      <c r="S342" s="49">
        <v>1.72</v>
      </c>
      <c r="T342" s="49">
        <v>31534.48</v>
      </c>
      <c r="X342" s="49" t="s">
        <v>796</v>
      </c>
      <c r="Y342" s="49" t="s">
        <v>797</v>
      </c>
      <c r="Z342" s="49" t="s">
        <v>798</v>
      </c>
      <c r="AA342" s="49" t="s">
        <v>643</v>
      </c>
      <c r="AB342" s="101" t="s">
        <v>799</v>
      </c>
    </row>
    <row r="343" spans="2:28" s="49" customFormat="1" x14ac:dyDescent="0.15">
      <c r="B343" s="137" t="s">
        <v>588</v>
      </c>
      <c r="C343" s="113">
        <v>43131.725694444445</v>
      </c>
      <c r="D343" s="49" t="s">
        <v>801</v>
      </c>
      <c r="E343" s="49">
        <v>180131022</v>
      </c>
      <c r="F343" s="49">
        <v>26</v>
      </c>
      <c r="G343" s="49">
        <v>1</v>
      </c>
      <c r="H343" s="49">
        <v>9</v>
      </c>
      <c r="I343" s="49">
        <v>0</v>
      </c>
      <c r="J343" s="49">
        <v>4</v>
      </c>
      <c r="K343" s="49">
        <v>25130</v>
      </c>
      <c r="L343" s="49">
        <v>8370</v>
      </c>
      <c r="M343" s="49">
        <v>0</v>
      </c>
      <c r="N343" s="49">
        <v>16760</v>
      </c>
      <c r="O343" s="49">
        <v>0</v>
      </c>
      <c r="P343" s="49">
        <v>2413</v>
      </c>
      <c r="Q343" s="49">
        <v>0</v>
      </c>
      <c r="R343" s="49">
        <v>14347</v>
      </c>
      <c r="S343" s="49">
        <v>1.72</v>
      </c>
      <c r="T343" s="49">
        <v>24676.84</v>
      </c>
      <c r="X343" s="49" t="s">
        <v>796</v>
      </c>
      <c r="Y343" s="49" t="s">
        <v>797</v>
      </c>
      <c r="Z343" s="49" t="s">
        <v>798</v>
      </c>
      <c r="AA343" s="49" t="s">
        <v>643</v>
      </c>
      <c r="AB343" s="101" t="s">
        <v>799</v>
      </c>
    </row>
    <row r="344" spans="2:28" s="49" customFormat="1" x14ac:dyDescent="0.15">
      <c r="B344" s="137" t="s">
        <v>588</v>
      </c>
      <c r="C344" s="113">
        <v>43131.729166666664</v>
      </c>
      <c r="D344" s="49" t="s">
        <v>802</v>
      </c>
      <c r="E344" s="49">
        <v>180131030</v>
      </c>
      <c r="F344" s="49">
        <v>31.2</v>
      </c>
      <c r="G344" s="49">
        <v>1</v>
      </c>
      <c r="H344" s="49">
        <v>10</v>
      </c>
      <c r="I344" s="49">
        <v>3</v>
      </c>
      <c r="J344" s="49">
        <v>6</v>
      </c>
      <c r="K344" s="49">
        <v>21160</v>
      </c>
      <c r="L344" s="49">
        <v>5290</v>
      </c>
      <c r="M344" s="49">
        <v>0</v>
      </c>
      <c r="N344" s="49">
        <v>15870</v>
      </c>
      <c r="O344" s="49">
        <v>0</v>
      </c>
      <c r="P344" s="49">
        <v>3276</v>
      </c>
      <c r="Q344" s="49">
        <v>0</v>
      </c>
      <c r="R344" s="49">
        <v>12594</v>
      </c>
      <c r="S344" s="49">
        <v>1.72</v>
      </c>
      <c r="T344" s="49">
        <v>21661.68</v>
      </c>
      <c r="X344" s="49" t="s">
        <v>787</v>
      </c>
      <c r="Y344" s="49" t="s">
        <v>788</v>
      </c>
      <c r="Z344" s="49" t="s">
        <v>789</v>
      </c>
      <c r="AA344" s="49" t="s">
        <v>643</v>
      </c>
      <c r="AB344" s="101" t="s">
        <v>790</v>
      </c>
    </row>
    <row r="345" spans="2:28" s="49" customFormat="1" x14ac:dyDescent="0.15">
      <c r="B345" s="137" t="s">
        <v>588</v>
      </c>
      <c r="C345" s="113">
        <v>43131.734722222223</v>
      </c>
      <c r="D345" s="49" t="s">
        <v>803</v>
      </c>
      <c r="E345" s="49">
        <v>180131029</v>
      </c>
      <c r="F345" s="49">
        <v>26.2</v>
      </c>
      <c r="G345" s="49">
        <v>1</v>
      </c>
      <c r="H345" s="49">
        <v>9</v>
      </c>
      <c r="I345" s="49">
        <v>0</v>
      </c>
      <c r="J345" s="49">
        <v>4</v>
      </c>
      <c r="K345" s="49">
        <v>16810</v>
      </c>
      <c r="L345" s="49">
        <v>4230</v>
      </c>
      <c r="M345" s="49">
        <v>0</v>
      </c>
      <c r="N345" s="49">
        <v>12580</v>
      </c>
      <c r="O345" s="49">
        <v>0</v>
      </c>
      <c r="P345" s="49">
        <v>1842</v>
      </c>
      <c r="Q345" s="49">
        <v>0</v>
      </c>
      <c r="R345" s="49">
        <v>10738</v>
      </c>
      <c r="S345" s="49">
        <v>1.72</v>
      </c>
      <c r="T345" s="49">
        <v>18469.36</v>
      </c>
      <c r="X345" s="49" t="s">
        <v>804</v>
      </c>
      <c r="Y345" s="49" t="s">
        <v>805</v>
      </c>
      <c r="Z345" s="49" t="s">
        <v>447</v>
      </c>
      <c r="AA345" s="49" t="s">
        <v>643</v>
      </c>
      <c r="AB345" s="101" t="s">
        <v>806</v>
      </c>
    </row>
    <row r="346" spans="2:28" s="49" customFormat="1" x14ac:dyDescent="0.15">
      <c r="B346" s="137" t="s">
        <v>588</v>
      </c>
      <c r="C346" s="113">
        <v>43131.751388888886</v>
      </c>
      <c r="D346" s="49" t="s">
        <v>807</v>
      </c>
      <c r="E346" s="49">
        <v>180131037</v>
      </c>
      <c r="F346" s="49">
        <v>29.5</v>
      </c>
      <c r="G346" s="49">
        <v>1</v>
      </c>
      <c r="H346" s="49">
        <v>8</v>
      </c>
      <c r="I346" s="49">
        <v>0</v>
      </c>
      <c r="J346" s="49">
        <v>3</v>
      </c>
      <c r="K346" s="49">
        <v>8740</v>
      </c>
      <c r="L346" s="49">
        <v>4650</v>
      </c>
      <c r="M346" s="49">
        <v>0</v>
      </c>
      <c r="N346" s="49">
        <v>4090</v>
      </c>
      <c r="O346" s="49">
        <v>0</v>
      </c>
      <c r="P346" s="49">
        <v>761</v>
      </c>
      <c r="Q346" s="49">
        <v>0</v>
      </c>
      <c r="R346" s="49">
        <v>3329</v>
      </c>
      <c r="S346" s="49">
        <v>1.72</v>
      </c>
      <c r="T346" s="49">
        <v>5725.88</v>
      </c>
      <c r="X346" s="49" t="s">
        <v>808</v>
      </c>
      <c r="Y346" s="49" t="s">
        <v>809</v>
      </c>
      <c r="Z346" s="49" t="s">
        <v>810</v>
      </c>
      <c r="AA346" s="49" t="s">
        <v>811</v>
      </c>
      <c r="AB346" s="101" t="s">
        <v>812</v>
      </c>
    </row>
    <row r="347" spans="2:28" s="49" customFormat="1" x14ac:dyDescent="0.15">
      <c r="B347" s="137" t="s">
        <v>588</v>
      </c>
      <c r="C347" s="113">
        <v>43131.755555555559</v>
      </c>
      <c r="D347" s="49" t="s">
        <v>738</v>
      </c>
      <c r="E347" s="49">
        <v>180131031</v>
      </c>
      <c r="F347" s="49">
        <v>25.5</v>
      </c>
      <c r="G347" s="49">
        <v>1</v>
      </c>
      <c r="H347" s="49">
        <v>8</v>
      </c>
      <c r="I347" s="49">
        <v>0</v>
      </c>
      <c r="J347" s="49">
        <v>3</v>
      </c>
      <c r="K347" s="49">
        <v>28530</v>
      </c>
      <c r="L347" s="49">
        <v>7030</v>
      </c>
      <c r="M347" s="49">
        <v>0</v>
      </c>
      <c r="N347" s="49">
        <v>21500</v>
      </c>
      <c r="O347" s="49">
        <v>0</v>
      </c>
      <c r="P347" s="49">
        <v>2967</v>
      </c>
      <c r="Q347" s="49">
        <v>0</v>
      </c>
      <c r="R347" s="49">
        <v>18533</v>
      </c>
      <c r="S347" s="49">
        <v>1.72</v>
      </c>
      <c r="T347" s="49">
        <v>31876.76</v>
      </c>
      <c r="X347" s="49" t="s">
        <v>739</v>
      </c>
      <c r="Y347" s="49" t="s">
        <v>740</v>
      </c>
      <c r="Z347" s="49" t="s">
        <v>741</v>
      </c>
      <c r="AA347" s="49" t="s">
        <v>643</v>
      </c>
      <c r="AB347" s="101" t="s">
        <v>742</v>
      </c>
    </row>
    <row r="348" spans="2:28" x14ac:dyDescent="0.15">
      <c r="B348" s="138" t="s">
        <v>588</v>
      </c>
      <c r="C348" s="113">
        <v>43131.765277777777</v>
      </c>
      <c r="D348" s="49" t="s">
        <v>813</v>
      </c>
      <c r="E348" s="49">
        <v>180131036</v>
      </c>
      <c r="F348" s="49">
        <v>27.9</v>
      </c>
      <c r="G348" s="49">
        <v>1</v>
      </c>
      <c r="H348" s="49">
        <v>14</v>
      </c>
      <c r="I348" s="49">
        <v>5.5</v>
      </c>
      <c r="J348" s="49">
        <v>11</v>
      </c>
      <c r="K348" s="49">
        <v>22900</v>
      </c>
      <c r="L348" s="49">
        <v>7500</v>
      </c>
      <c r="M348" s="49">
        <v>0</v>
      </c>
      <c r="N348" s="49">
        <v>15400</v>
      </c>
      <c r="O348" s="49">
        <v>92</v>
      </c>
      <c r="P348" s="49">
        <v>2569</v>
      </c>
      <c r="Q348" s="49">
        <v>386</v>
      </c>
      <c r="R348" s="49">
        <v>12353</v>
      </c>
      <c r="S348" s="49">
        <v>1.72</v>
      </c>
      <c r="T348" s="49">
        <v>21247.16</v>
      </c>
      <c r="U348" s="49"/>
      <c r="V348" s="49"/>
      <c r="W348" s="49"/>
      <c r="X348" s="49" t="s">
        <v>814</v>
      </c>
      <c r="Y348" s="49" t="s">
        <v>815</v>
      </c>
      <c r="Z348" s="49" t="s">
        <v>816</v>
      </c>
      <c r="AA348" s="49" t="s">
        <v>643</v>
      </c>
      <c r="AB348" s="101" t="s">
        <v>817</v>
      </c>
    </row>
    <row r="349" spans="2:28" x14ac:dyDescent="0.15">
      <c r="B349" s="138" t="s">
        <v>588</v>
      </c>
      <c r="C349" s="113">
        <v>43131.774305555555</v>
      </c>
      <c r="D349" s="49" t="s">
        <v>818</v>
      </c>
      <c r="E349" s="49">
        <v>180131042</v>
      </c>
      <c r="F349" s="49">
        <v>25.4</v>
      </c>
      <c r="G349" s="49">
        <v>1.5</v>
      </c>
      <c r="H349" s="49">
        <v>8</v>
      </c>
      <c r="I349" s="49">
        <v>0</v>
      </c>
      <c r="J349" s="49">
        <v>3</v>
      </c>
      <c r="K349" s="49">
        <v>25410</v>
      </c>
      <c r="L349" s="49">
        <v>9630</v>
      </c>
      <c r="M349" s="49">
        <v>79</v>
      </c>
      <c r="N349" s="49">
        <v>15780</v>
      </c>
      <c r="O349" s="49">
        <v>0</v>
      </c>
      <c r="P349" s="49">
        <v>2159</v>
      </c>
      <c r="Q349" s="49">
        <v>0</v>
      </c>
      <c r="R349" s="49">
        <v>13542</v>
      </c>
      <c r="S349" s="49">
        <v>1.72</v>
      </c>
      <c r="T349" s="49">
        <v>23292.239999999998</v>
      </c>
      <c r="U349" s="49"/>
      <c r="V349" s="49"/>
      <c r="W349" s="49"/>
      <c r="X349" s="49" t="s">
        <v>819</v>
      </c>
      <c r="Y349" s="49" t="s">
        <v>820</v>
      </c>
      <c r="Z349" s="49" t="s">
        <v>821</v>
      </c>
      <c r="AA349" s="49" t="s">
        <v>643</v>
      </c>
      <c r="AB349" s="101" t="s">
        <v>822</v>
      </c>
    </row>
    <row r="350" spans="2:28" x14ac:dyDescent="0.15">
      <c r="B350" s="138" t="s">
        <v>588</v>
      </c>
      <c r="C350" s="113">
        <v>43131.786111111112</v>
      </c>
      <c r="D350" s="49" t="s">
        <v>823</v>
      </c>
      <c r="E350" s="49">
        <v>180131043</v>
      </c>
      <c r="F350" s="49">
        <v>26.6</v>
      </c>
      <c r="G350" s="49">
        <v>1</v>
      </c>
      <c r="H350" s="49">
        <v>7</v>
      </c>
      <c r="I350" s="49">
        <v>0</v>
      </c>
      <c r="J350" s="49">
        <v>2</v>
      </c>
      <c r="K350" s="49">
        <v>29770</v>
      </c>
      <c r="L350" s="49">
        <v>7590</v>
      </c>
      <c r="M350" s="49">
        <v>0</v>
      </c>
      <c r="N350" s="49">
        <v>22180</v>
      </c>
      <c r="O350" s="49">
        <v>0</v>
      </c>
      <c r="P350" s="49">
        <v>3354</v>
      </c>
      <c r="Q350" s="49">
        <v>0</v>
      </c>
      <c r="R350" s="49">
        <v>18826</v>
      </c>
      <c r="S350" s="49">
        <v>1.72</v>
      </c>
      <c r="T350" s="49">
        <v>32380.720000000001</v>
      </c>
      <c r="U350" s="49"/>
      <c r="V350" s="49"/>
      <c r="W350" s="49"/>
      <c r="X350" s="49" t="s">
        <v>739</v>
      </c>
      <c r="Y350" s="49" t="s">
        <v>740</v>
      </c>
      <c r="Z350" s="49" t="s">
        <v>741</v>
      </c>
      <c r="AA350" s="49" t="s">
        <v>643</v>
      </c>
      <c r="AB350" s="101" t="s">
        <v>742</v>
      </c>
    </row>
    <row r="351" spans="2:28" x14ac:dyDescent="0.15">
      <c r="B351" s="138" t="s">
        <v>588</v>
      </c>
      <c r="C351" s="113">
        <v>43131.79791666667</v>
      </c>
      <c r="D351" s="49" t="s">
        <v>411</v>
      </c>
      <c r="E351" s="49">
        <v>180131034</v>
      </c>
      <c r="F351" s="49">
        <v>25.5</v>
      </c>
      <c r="G351" s="49">
        <v>1</v>
      </c>
      <c r="H351" s="49">
        <v>8</v>
      </c>
      <c r="I351" s="49">
        <v>0</v>
      </c>
      <c r="J351" s="49">
        <v>3</v>
      </c>
      <c r="K351" s="49">
        <v>94430</v>
      </c>
      <c r="L351" s="49">
        <v>21360</v>
      </c>
      <c r="M351" s="49">
        <v>0</v>
      </c>
      <c r="N351" s="49">
        <v>73070</v>
      </c>
      <c r="O351" s="49">
        <v>0</v>
      </c>
      <c r="P351" s="49">
        <v>10084</v>
      </c>
      <c r="Q351" s="49">
        <v>0</v>
      </c>
      <c r="R351" s="49">
        <v>62986</v>
      </c>
      <c r="S351" s="49">
        <v>1.72</v>
      </c>
      <c r="T351" s="49">
        <v>108335.92</v>
      </c>
      <c r="U351" s="49"/>
      <c r="V351" s="49"/>
      <c r="W351" s="49"/>
      <c r="X351" s="49" t="s">
        <v>531</v>
      </c>
      <c r="Y351" s="49" t="s">
        <v>532</v>
      </c>
      <c r="Z351" s="49" t="s">
        <v>533</v>
      </c>
      <c r="AA351" s="49" t="s">
        <v>643</v>
      </c>
      <c r="AB351" s="101" t="s">
        <v>707</v>
      </c>
    </row>
    <row r="352" spans="2:28" x14ac:dyDescent="0.15">
      <c r="C352" s="113" t="s">
        <v>679</v>
      </c>
      <c r="D352" s="49"/>
      <c r="E352" s="49"/>
      <c r="F352" s="49"/>
      <c r="G352" s="49"/>
      <c r="H352" s="49"/>
      <c r="I352" s="49"/>
      <c r="J352" s="49"/>
      <c r="K352" s="49"/>
      <c r="L352" s="49"/>
      <c r="M352" s="49"/>
      <c r="N352" s="49"/>
      <c r="O352" s="49"/>
      <c r="P352" s="49"/>
      <c r="Q352" s="49"/>
      <c r="R352" s="49"/>
      <c r="S352" s="49"/>
      <c r="T352" s="49"/>
      <c r="U352" s="49"/>
      <c r="V352" s="49"/>
      <c r="W352" s="49"/>
      <c r="X352" s="49"/>
      <c r="Y352" s="49"/>
      <c r="Z352" s="49"/>
      <c r="AA352" s="49"/>
      <c r="AB352" s="101"/>
    </row>
    <row r="353" spans="2:28" x14ac:dyDescent="0.15">
      <c r="B353" s="138" t="s">
        <v>588</v>
      </c>
      <c r="C353" s="113">
        <v>43131.838888888888</v>
      </c>
      <c r="D353" s="49" t="s">
        <v>329</v>
      </c>
      <c r="E353" s="49">
        <v>180131038</v>
      </c>
      <c r="F353" s="49">
        <v>27.4</v>
      </c>
      <c r="G353" s="49">
        <v>1</v>
      </c>
      <c r="H353" s="49">
        <v>8</v>
      </c>
      <c r="I353" s="49">
        <v>0</v>
      </c>
      <c r="J353" s="49">
        <v>3</v>
      </c>
      <c r="K353" s="49">
        <v>79510</v>
      </c>
      <c r="L353" s="49">
        <v>17080</v>
      </c>
      <c r="M353" s="49">
        <v>0</v>
      </c>
      <c r="N353" s="49">
        <v>62430</v>
      </c>
      <c r="O353" s="49">
        <v>0</v>
      </c>
      <c r="P353" s="49">
        <v>10039</v>
      </c>
      <c r="Q353" s="49">
        <v>0</v>
      </c>
      <c r="R353" s="49">
        <v>52391</v>
      </c>
      <c r="S353" s="49">
        <v>1.72</v>
      </c>
      <c r="T353" s="49">
        <v>90112.52</v>
      </c>
      <c r="U353" s="49"/>
      <c r="V353" s="49"/>
      <c r="W353" s="49"/>
      <c r="X353" s="49" t="s">
        <v>469</v>
      </c>
      <c r="Y353" s="49" t="s">
        <v>470</v>
      </c>
      <c r="Z353" s="49" t="s">
        <v>471</v>
      </c>
      <c r="AA353" s="49" t="s">
        <v>643</v>
      </c>
      <c r="AB353" s="101" t="s">
        <v>688</v>
      </c>
    </row>
    <row r="354" spans="2:28" x14ac:dyDescent="0.15">
      <c r="B354" s="138" t="s">
        <v>588</v>
      </c>
      <c r="C354" s="113">
        <v>43131.84652777778</v>
      </c>
      <c r="D354" s="49" t="s">
        <v>410</v>
      </c>
      <c r="E354" s="49">
        <v>180131032</v>
      </c>
      <c r="F354" s="49">
        <v>25.7</v>
      </c>
      <c r="G354" s="49">
        <v>1</v>
      </c>
      <c r="H354" s="49">
        <v>8</v>
      </c>
      <c r="I354" s="49">
        <v>0</v>
      </c>
      <c r="J354" s="49">
        <v>3</v>
      </c>
      <c r="K354" s="49">
        <v>96590</v>
      </c>
      <c r="L354" s="49">
        <v>21440</v>
      </c>
      <c r="M354" s="49">
        <v>0</v>
      </c>
      <c r="N354" s="49">
        <v>75150</v>
      </c>
      <c r="O354" s="49">
        <v>0</v>
      </c>
      <c r="P354" s="49">
        <v>10551</v>
      </c>
      <c r="Q354" s="49">
        <v>0</v>
      </c>
      <c r="R354" s="49">
        <v>64599</v>
      </c>
      <c r="S354" s="49">
        <v>1.72</v>
      </c>
      <c r="T354" s="49">
        <v>111110.28</v>
      </c>
      <c r="U354" s="49"/>
      <c r="V354" s="49"/>
      <c r="W354" s="49"/>
      <c r="X354" s="49" t="s">
        <v>531</v>
      </c>
      <c r="Y354" s="49" t="s">
        <v>532</v>
      </c>
      <c r="Z354" s="49" t="s">
        <v>533</v>
      </c>
      <c r="AA354" s="49" t="s">
        <v>643</v>
      </c>
      <c r="AB354" s="101" t="s">
        <v>707</v>
      </c>
    </row>
    <row r="355" spans="2:28" x14ac:dyDescent="0.15">
      <c r="B355" s="138" t="s">
        <v>588</v>
      </c>
      <c r="C355" s="113">
        <v>43131.871527777781</v>
      </c>
      <c r="D355" s="49" t="s">
        <v>399</v>
      </c>
      <c r="E355" s="49">
        <v>180131040</v>
      </c>
      <c r="F355" s="49">
        <v>26.7</v>
      </c>
      <c r="G355" s="49">
        <v>2.5</v>
      </c>
      <c r="H355" s="49">
        <v>7</v>
      </c>
      <c r="I355" s="49">
        <v>0</v>
      </c>
      <c r="J355" s="49">
        <v>2</v>
      </c>
      <c r="K355" s="49">
        <v>94570</v>
      </c>
      <c r="L355" s="49">
        <v>22780</v>
      </c>
      <c r="M355" s="49">
        <v>1077</v>
      </c>
      <c r="N355" s="49">
        <v>71790</v>
      </c>
      <c r="O355" s="49">
        <v>0</v>
      </c>
      <c r="P355" s="49">
        <v>10941</v>
      </c>
      <c r="Q355" s="49">
        <v>0</v>
      </c>
      <c r="R355" s="49">
        <v>59772</v>
      </c>
      <c r="S355" s="49">
        <v>1.72</v>
      </c>
      <c r="T355" s="49">
        <v>102807.84</v>
      </c>
      <c r="U355" s="49"/>
      <c r="V355" s="49"/>
      <c r="W355" s="49"/>
      <c r="X355" s="49" t="s">
        <v>437</v>
      </c>
      <c r="Y355" s="49" t="s">
        <v>438</v>
      </c>
      <c r="Z355" s="49" t="s">
        <v>439</v>
      </c>
      <c r="AA355" s="49" t="s">
        <v>647</v>
      </c>
      <c r="AB355" s="101" t="s">
        <v>681</v>
      </c>
    </row>
    <row r="356" spans="2:28" x14ac:dyDescent="0.15">
      <c r="B356" s="138" t="s">
        <v>588</v>
      </c>
      <c r="C356" s="113">
        <v>43131.878472222219</v>
      </c>
      <c r="D356" s="49" t="s">
        <v>824</v>
      </c>
      <c r="E356" s="49">
        <v>180131039</v>
      </c>
      <c r="F356" s="49">
        <v>24.8</v>
      </c>
      <c r="G356" s="49">
        <v>1.5</v>
      </c>
      <c r="H356" s="49">
        <v>8</v>
      </c>
      <c r="I356" s="49">
        <v>0</v>
      </c>
      <c r="J356" s="49">
        <v>3</v>
      </c>
      <c r="K356" s="49">
        <v>84350</v>
      </c>
      <c r="L356" s="49">
        <v>16930</v>
      </c>
      <c r="M356" s="49">
        <v>337</v>
      </c>
      <c r="N356" s="49">
        <v>67420</v>
      </c>
      <c r="O356" s="49">
        <v>0</v>
      </c>
      <c r="P356" s="49">
        <v>8738</v>
      </c>
      <c r="Q356" s="49">
        <v>0</v>
      </c>
      <c r="R356" s="49">
        <v>58345</v>
      </c>
      <c r="S356" s="49">
        <v>1.72</v>
      </c>
      <c r="T356" s="49">
        <v>100353.4</v>
      </c>
      <c r="U356" s="49"/>
      <c r="V356" s="49"/>
      <c r="W356" s="49"/>
      <c r="X356" s="49" t="s">
        <v>469</v>
      </c>
      <c r="Y356" s="49" t="s">
        <v>470</v>
      </c>
      <c r="Z356" s="49" t="s">
        <v>471</v>
      </c>
      <c r="AA356" s="49" t="s">
        <v>643</v>
      </c>
      <c r="AB356" s="101" t="s">
        <v>688</v>
      </c>
    </row>
    <row r="357" spans="2:28" x14ac:dyDescent="0.15">
      <c r="B357" s="138" t="s">
        <v>588</v>
      </c>
      <c r="C357" s="113">
        <v>43131.905555555553</v>
      </c>
      <c r="D357" s="49" t="s">
        <v>825</v>
      </c>
      <c r="E357" s="49">
        <v>180131041</v>
      </c>
      <c r="F357" s="49">
        <v>25.9</v>
      </c>
      <c r="G357" s="49">
        <v>1.5</v>
      </c>
      <c r="H357" s="49">
        <v>7</v>
      </c>
      <c r="I357" s="49">
        <v>0</v>
      </c>
      <c r="J357" s="49">
        <v>2</v>
      </c>
      <c r="K357" s="49">
        <v>82010</v>
      </c>
      <c r="L357" s="49">
        <v>17440</v>
      </c>
      <c r="M357" s="49">
        <v>323</v>
      </c>
      <c r="N357" s="49">
        <v>64570</v>
      </c>
      <c r="O357" s="49">
        <v>0</v>
      </c>
      <c r="P357" s="49">
        <v>9221</v>
      </c>
      <c r="Q357" s="49">
        <v>0</v>
      </c>
      <c r="R357" s="49">
        <v>55026</v>
      </c>
      <c r="S357" s="49">
        <v>1.72</v>
      </c>
      <c r="T357" s="49">
        <v>94644.72</v>
      </c>
      <c r="U357" s="49"/>
      <c r="V357" s="49"/>
      <c r="W357" s="49"/>
      <c r="X357" s="49" t="s">
        <v>469</v>
      </c>
      <c r="Y357" s="49" t="s">
        <v>470</v>
      </c>
      <c r="Z357" s="49" t="s">
        <v>471</v>
      </c>
      <c r="AA357" s="49" t="s">
        <v>643</v>
      </c>
      <c r="AB357" s="101" t="s">
        <v>688</v>
      </c>
    </row>
    <row r="358" spans="2:28" x14ac:dyDescent="0.15">
      <c r="B358" s="138" t="s">
        <v>588</v>
      </c>
      <c r="C358" s="113">
        <v>43132.406944444447</v>
      </c>
      <c r="D358" s="49" t="s">
        <v>826</v>
      </c>
      <c r="E358" s="49">
        <v>180201002</v>
      </c>
      <c r="F358" s="49">
        <v>26.1</v>
      </c>
      <c r="G358" s="49">
        <v>1</v>
      </c>
      <c r="H358" s="49">
        <v>8</v>
      </c>
      <c r="I358" s="49">
        <v>0</v>
      </c>
      <c r="J358" s="49">
        <v>3</v>
      </c>
      <c r="K358" s="49">
        <v>68430</v>
      </c>
      <c r="L358" s="49">
        <v>18890</v>
      </c>
      <c r="M358" s="49">
        <v>0</v>
      </c>
      <c r="N358" s="49">
        <v>49540</v>
      </c>
      <c r="O358" s="49">
        <v>0</v>
      </c>
      <c r="P358" s="49">
        <v>7193</v>
      </c>
      <c r="Q358" s="49">
        <v>0</v>
      </c>
      <c r="R358" s="49">
        <v>42347</v>
      </c>
      <c r="S358" s="49">
        <v>1.72</v>
      </c>
      <c r="T358" s="49">
        <v>72836.84</v>
      </c>
      <c r="U358" s="49"/>
      <c r="V358" s="49"/>
      <c r="W358" s="49"/>
      <c r="X358" s="49" t="s">
        <v>827</v>
      </c>
      <c r="Y358" s="49" t="s">
        <v>828</v>
      </c>
      <c r="Z358" s="49" t="s">
        <v>829</v>
      </c>
      <c r="AA358" s="49" t="s">
        <v>665</v>
      </c>
      <c r="AB358" s="101" t="s">
        <v>830</v>
      </c>
    </row>
    <row r="359" spans="2:28" x14ac:dyDescent="0.15">
      <c r="B359" s="138" t="s">
        <v>588</v>
      </c>
      <c r="C359" s="113">
        <v>43132.438888888886</v>
      </c>
      <c r="D359" s="49" t="s">
        <v>831</v>
      </c>
      <c r="E359" s="49">
        <v>180201003</v>
      </c>
      <c r="F359" s="49">
        <v>24.8</v>
      </c>
      <c r="G359" s="49">
        <v>1.2</v>
      </c>
      <c r="H359" s="49">
        <v>8</v>
      </c>
      <c r="I359" s="49">
        <v>0</v>
      </c>
      <c r="J359" s="49">
        <v>3</v>
      </c>
      <c r="K359" s="49">
        <v>63390</v>
      </c>
      <c r="L359" s="49">
        <v>16220</v>
      </c>
      <c r="M359" s="49">
        <v>94</v>
      </c>
      <c r="N359" s="49">
        <v>47170</v>
      </c>
      <c r="O359" s="49">
        <v>0</v>
      </c>
      <c r="P359" s="49">
        <v>6113</v>
      </c>
      <c r="Q359" s="49">
        <v>0</v>
      </c>
      <c r="R359" s="49">
        <v>40963</v>
      </c>
      <c r="S359" s="49">
        <v>1.72</v>
      </c>
      <c r="T359" s="49">
        <v>70456.36</v>
      </c>
      <c r="U359" s="49"/>
      <c r="V359" s="49"/>
      <c r="W359" s="49"/>
      <c r="X359" s="49" t="s">
        <v>832</v>
      </c>
      <c r="Y359" s="49" t="s">
        <v>833</v>
      </c>
      <c r="Z359" s="49" t="s">
        <v>834</v>
      </c>
      <c r="AA359" s="49" t="s">
        <v>665</v>
      </c>
      <c r="AB359" s="101" t="s">
        <v>835</v>
      </c>
    </row>
    <row r="360" spans="2:28" x14ac:dyDescent="0.15">
      <c r="B360" s="138" t="s">
        <v>588</v>
      </c>
      <c r="C360" s="113">
        <v>43132.464583333334</v>
      </c>
      <c r="D360" s="49" t="s">
        <v>836</v>
      </c>
      <c r="E360" s="49">
        <v>180201001</v>
      </c>
      <c r="F360" s="49">
        <v>24.5</v>
      </c>
      <c r="G360" s="49">
        <v>1</v>
      </c>
      <c r="H360" s="49">
        <v>9</v>
      </c>
      <c r="I360" s="49">
        <v>0</v>
      </c>
      <c r="J360" s="49">
        <v>4</v>
      </c>
      <c r="K360" s="49">
        <v>46440</v>
      </c>
      <c r="L360" s="49">
        <v>16250</v>
      </c>
      <c r="M360" s="49">
        <v>0</v>
      </c>
      <c r="N360" s="49">
        <v>30190</v>
      </c>
      <c r="O360" s="49">
        <v>0</v>
      </c>
      <c r="P360" s="49">
        <v>3804</v>
      </c>
      <c r="Q360" s="49">
        <v>0</v>
      </c>
      <c r="R360" s="49">
        <v>26386</v>
      </c>
      <c r="S360" s="49">
        <v>1.72</v>
      </c>
      <c r="T360" s="49">
        <v>45383.92</v>
      </c>
      <c r="U360" s="49"/>
      <c r="V360" s="49"/>
      <c r="W360" s="49"/>
      <c r="X360" s="49" t="s">
        <v>837</v>
      </c>
      <c r="Y360" s="49" t="s">
        <v>838</v>
      </c>
      <c r="Z360" s="49" t="s">
        <v>839</v>
      </c>
      <c r="AA360" s="49" t="s">
        <v>643</v>
      </c>
      <c r="AB360" s="101" t="s">
        <v>840</v>
      </c>
    </row>
    <row r="361" spans="2:28" x14ac:dyDescent="0.15">
      <c r="B361" s="138" t="s">
        <v>588</v>
      </c>
      <c r="C361" s="113">
        <v>43132.488888888889</v>
      </c>
      <c r="D361" s="49" t="s">
        <v>716</v>
      </c>
      <c r="E361" s="49">
        <v>180201007</v>
      </c>
      <c r="F361" s="49">
        <v>26.5</v>
      </c>
      <c r="G361" s="49">
        <v>1.2</v>
      </c>
      <c r="H361" s="49">
        <v>8</v>
      </c>
      <c r="I361" s="49">
        <v>0</v>
      </c>
      <c r="J361" s="49">
        <v>3</v>
      </c>
      <c r="K361" s="49">
        <v>80840</v>
      </c>
      <c r="L361" s="49">
        <v>16560</v>
      </c>
      <c r="M361" s="49">
        <v>129</v>
      </c>
      <c r="N361" s="49">
        <v>64280</v>
      </c>
      <c r="O361" s="49">
        <v>0</v>
      </c>
      <c r="P361" s="49">
        <v>9642</v>
      </c>
      <c r="Q361" s="49">
        <v>0</v>
      </c>
      <c r="R361" s="49">
        <v>54509</v>
      </c>
      <c r="S361" s="49">
        <v>1.72</v>
      </c>
      <c r="T361" s="49">
        <v>93755.48</v>
      </c>
      <c r="U361" s="49"/>
      <c r="V361" s="49"/>
      <c r="W361" s="49"/>
      <c r="X361" s="49" t="s">
        <v>547</v>
      </c>
      <c r="Y361" s="49" t="s">
        <v>548</v>
      </c>
      <c r="Z361" s="49" t="s">
        <v>533</v>
      </c>
      <c r="AA361" s="49" t="s">
        <v>643</v>
      </c>
      <c r="AB361" s="101" t="s">
        <v>705</v>
      </c>
    </row>
    <row r="362" spans="2:28" x14ac:dyDescent="0.15">
      <c r="B362" s="138" t="s">
        <v>588</v>
      </c>
      <c r="C362" s="113">
        <v>43132.512499999997</v>
      </c>
      <c r="D362" s="49" t="s">
        <v>473</v>
      </c>
      <c r="E362" s="49">
        <v>180201008</v>
      </c>
      <c r="F362" s="49">
        <v>27.6</v>
      </c>
      <c r="G362" s="49">
        <v>1</v>
      </c>
      <c r="H362" s="49">
        <v>8</v>
      </c>
      <c r="I362" s="49">
        <v>0</v>
      </c>
      <c r="J362" s="49">
        <v>3</v>
      </c>
      <c r="K362" s="49">
        <v>73700</v>
      </c>
      <c r="L362" s="49">
        <v>17170</v>
      </c>
      <c r="M362" s="49">
        <v>0</v>
      </c>
      <c r="N362" s="49">
        <v>56530</v>
      </c>
      <c r="O362" s="49">
        <v>0</v>
      </c>
      <c r="P362" s="49">
        <v>9226</v>
      </c>
      <c r="Q362" s="49">
        <v>0</v>
      </c>
      <c r="R362" s="49">
        <v>47304</v>
      </c>
      <c r="S362" s="49">
        <v>1.72</v>
      </c>
      <c r="T362" s="49">
        <v>81362.880000000005</v>
      </c>
      <c r="U362" s="49"/>
      <c r="V362" s="49"/>
      <c r="W362" s="49"/>
      <c r="X362" s="49" t="s">
        <v>841</v>
      </c>
      <c r="Y362" s="49" t="s">
        <v>842</v>
      </c>
      <c r="Z362" s="49" t="s">
        <v>843</v>
      </c>
      <c r="AA362" s="49" t="s">
        <v>844</v>
      </c>
      <c r="AB362" s="101" t="s">
        <v>845</v>
      </c>
    </row>
    <row r="363" spans="2:28" x14ac:dyDescent="0.15">
      <c r="B363" s="138" t="s">
        <v>588</v>
      </c>
      <c r="C363" s="113">
        <v>43132.5625</v>
      </c>
      <c r="D363" s="49" t="s">
        <v>440</v>
      </c>
      <c r="E363" s="49">
        <v>180201011</v>
      </c>
      <c r="F363" s="49">
        <v>25.7</v>
      </c>
      <c r="G363" s="49">
        <v>1.5</v>
      </c>
      <c r="H363" s="49">
        <v>8</v>
      </c>
      <c r="I363" s="49">
        <v>0</v>
      </c>
      <c r="J363" s="49">
        <v>3</v>
      </c>
      <c r="K363" s="49">
        <v>86280</v>
      </c>
      <c r="L363" s="49">
        <v>16850</v>
      </c>
      <c r="M363" s="49">
        <v>347</v>
      </c>
      <c r="N363" s="49">
        <v>69430</v>
      </c>
      <c r="O363" s="49">
        <v>0</v>
      </c>
      <c r="P363" s="49">
        <v>9748</v>
      </c>
      <c r="Q363" s="49">
        <v>0</v>
      </c>
      <c r="R363" s="49">
        <v>59335</v>
      </c>
      <c r="S363" s="49">
        <v>1.72</v>
      </c>
      <c r="T363" s="49">
        <v>102056.2</v>
      </c>
      <c r="U363" s="49"/>
      <c r="V363" s="49"/>
      <c r="W363" s="49"/>
      <c r="X363" s="49" t="s">
        <v>547</v>
      </c>
      <c r="Y363" s="49" t="s">
        <v>548</v>
      </c>
      <c r="Z363" s="49" t="s">
        <v>533</v>
      </c>
      <c r="AA363" s="49" t="s">
        <v>643</v>
      </c>
      <c r="AB363" s="101" t="s">
        <v>705</v>
      </c>
    </row>
    <row r="364" spans="2:28" x14ac:dyDescent="0.15">
      <c r="B364" s="138" t="s">
        <v>588</v>
      </c>
      <c r="C364" s="113">
        <v>43132.565972222219</v>
      </c>
      <c r="D364" s="49" t="s">
        <v>550</v>
      </c>
      <c r="E364" s="49">
        <v>180201010</v>
      </c>
      <c r="F364" s="49">
        <v>26.1</v>
      </c>
      <c r="G364" s="49">
        <v>1</v>
      </c>
      <c r="H364" s="49">
        <v>8</v>
      </c>
      <c r="I364" s="49">
        <v>0</v>
      </c>
      <c r="J364" s="49">
        <v>3</v>
      </c>
      <c r="K364" s="49">
        <v>78410</v>
      </c>
      <c r="L364" s="49">
        <v>16970</v>
      </c>
      <c r="M364" s="49">
        <v>0</v>
      </c>
      <c r="N364" s="49">
        <v>61440</v>
      </c>
      <c r="O364" s="49">
        <v>0</v>
      </c>
      <c r="P364" s="49">
        <v>8921</v>
      </c>
      <c r="Q364" s="49">
        <v>0</v>
      </c>
      <c r="R364" s="49">
        <v>52519</v>
      </c>
      <c r="S364" s="49">
        <v>1.72</v>
      </c>
      <c r="T364" s="49">
        <v>90332.68</v>
      </c>
      <c r="U364" s="49"/>
      <c r="V364" s="49"/>
      <c r="W364" s="49"/>
      <c r="X364" s="49" t="s">
        <v>547</v>
      </c>
      <c r="Y364" s="49" t="s">
        <v>548</v>
      </c>
      <c r="Z364" s="49" t="s">
        <v>533</v>
      </c>
      <c r="AA364" s="49" t="s">
        <v>643</v>
      </c>
      <c r="AB364" s="101" t="s">
        <v>705</v>
      </c>
    </row>
    <row r="365" spans="2:28" x14ac:dyDescent="0.15">
      <c r="B365" s="138" t="s">
        <v>588</v>
      </c>
      <c r="C365" s="113">
        <v>43132.609027777777</v>
      </c>
      <c r="D365" s="49" t="s">
        <v>549</v>
      </c>
      <c r="E365" s="49">
        <v>180201013</v>
      </c>
      <c r="F365" s="49">
        <v>26.8</v>
      </c>
      <c r="G365" s="49">
        <v>1</v>
      </c>
      <c r="H365" s="49">
        <v>8</v>
      </c>
      <c r="I365" s="49">
        <v>0</v>
      </c>
      <c r="J365" s="49">
        <v>3</v>
      </c>
      <c r="K365" s="49">
        <v>77910</v>
      </c>
      <c r="L365" s="49">
        <v>16890</v>
      </c>
      <c r="M365" s="49">
        <v>0</v>
      </c>
      <c r="N365" s="49">
        <v>61020</v>
      </c>
      <c r="O365" s="49">
        <v>0</v>
      </c>
      <c r="P365" s="49">
        <v>9373</v>
      </c>
      <c r="Q365" s="49">
        <v>0</v>
      </c>
      <c r="R365" s="49">
        <v>51647</v>
      </c>
      <c r="S365" s="49">
        <v>1.72</v>
      </c>
      <c r="T365" s="49">
        <v>88832.84</v>
      </c>
      <c r="U365" s="49"/>
      <c r="V365" s="49"/>
      <c r="W365" s="49"/>
      <c r="X365" s="49" t="s">
        <v>469</v>
      </c>
      <c r="Y365" s="49" t="s">
        <v>470</v>
      </c>
      <c r="Z365" s="49" t="s">
        <v>471</v>
      </c>
      <c r="AA365" s="49" t="s">
        <v>643</v>
      </c>
      <c r="AB365" s="101" t="s">
        <v>688</v>
      </c>
    </row>
    <row r="366" spans="2:28" x14ac:dyDescent="0.15">
      <c r="B366" s="138" t="s">
        <v>588</v>
      </c>
      <c r="C366" s="113">
        <v>43132.614583333336</v>
      </c>
      <c r="D366" s="49" t="s">
        <v>201</v>
      </c>
      <c r="E366" s="49">
        <v>180201009</v>
      </c>
      <c r="F366" s="49">
        <v>23.4</v>
      </c>
      <c r="G366" s="49">
        <v>1</v>
      </c>
      <c r="H366" s="49">
        <v>8</v>
      </c>
      <c r="I366" s="49">
        <v>0</v>
      </c>
      <c r="J366" s="49">
        <v>3</v>
      </c>
      <c r="K366" s="49">
        <v>58820</v>
      </c>
      <c r="L366" s="49">
        <v>14970</v>
      </c>
      <c r="M366" s="49">
        <v>0</v>
      </c>
      <c r="N366" s="49">
        <v>43850</v>
      </c>
      <c r="O366" s="49">
        <v>0</v>
      </c>
      <c r="P366" s="49">
        <v>4946</v>
      </c>
      <c r="Q366" s="49">
        <v>0</v>
      </c>
      <c r="R366" s="49">
        <v>38904</v>
      </c>
      <c r="S366" s="49">
        <v>1.72</v>
      </c>
      <c r="T366" s="49">
        <v>66914.880000000005</v>
      </c>
      <c r="U366" s="49"/>
      <c r="V366" s="49"/>
      <c r="W366" s="49"/>
      <c r="X366" s="49" t="s">
        <v>743</v>
      </c>
      <c r="Y366" s="49" t="s">
        <v>744</v>
      </c>
      <c r="Z366" s="49" t="s">
        <v>745</v>
      </c>
      <c r="AA366" s="49" t="s">
        <v>746</v>
      </c>
      <c r="AB366" s="101" t="s">
        <v>747</v>
      </c>
    </row>
    <row r="367" spans="2:28" x14ac:dyDescent="0.15">
      <c r="B367" s="138" t="s">
        <v>588</v>
      </c>
      <c r="C367" s="113">
        <v>43132.633333333331</v>
      </c>
      <c r="D367" s="49" t="s">
        <v>803</v>
      </c>
      <c r="E367" s="49">
        <v>180201018</v>
      </c>
      <c r="F367" s="49">
        <v>26.4</v>
      </c>
      <c r="G367" s="49">
        <v>1</v>
      </c>
      <c r="H367" s="49">
        <v>8</v>
      </c>
      <c r="I367" s="49">
        <v>0</v>
      </c>
      <c r="J367" s="49">
        <v>3</v>
      </c>
      <c r="K367" s="49">
        <v>15870</v>
      </c>
      <c r="L367" s="49">
        <v>4220</v>
      </c>
      <c r="M367" s="49">
        <v>0</v>
      </c>
      <c r="N367" s="49">
        <v>11650</v>
      </c>
      <c r="O367" s="49">
        <v>0</v>
      </c>
      <c r="P367" s="49">
        <v>1734</v>
      </c>
      <c r="Q367" s="49">
        <v>0</v>
      </c>
      <c r="R367" s="49">
        <v>9916</v>
      </c>
      <c r="S367" s="49">
        <v>1.72</v>
      </c>
      <c r="T367" s="49">
        <v>17055.52</v>
      </c>
      <c r="U367" s="49"/>
      <c r="V367" s="49"/>
      <c r="W367" s="49"/>
      <c r="X367" s="49" t="s">
        <v>804</v>
      </c>
      <c r="Y367" s="49" t="s">
        <v>805</v>
      </c>
      <c r="Z367" s="49" t="s">
        <v>447</v>
      </c>
      <c r="AA367" s="49" t="s">
        <v>643</v>
      </c>
      <c r="AB367" s="101" t="s">
        <v>806</v>
      </c>
    </row>
    <row r="368" spans="2:28" x14ac:dyDescent="0.15">
      <c r="B368" s="138" t="s">
        <v>588</v>
      </c>
      <c r="C368" s="113">
        <v>43132.649305555555</v>
      </c>
      <c r="D368" s="49" t="s">
        <v>846</v>
      </c>
      <c r="E368" s="49">
        <v>180201020</v>
      </c>
      <c r="F368" s="49">
        <v>26.6</v>
      </c>
      <c r="G368" s="49">
        <v>1</v>
      </c>
      <c r="H368" s="49">
        <v>8</v>
      </c>
      <c r="I368" s="49">
        <v>0</v>
      </c>
      <c r="J368" s="49">
        <v>3</v>
      </c>
      <c r="K368" s="49">
        <v>31990</v>
      </c>
      <c r="L368" s="49">
        <v>6870</v>
      </c>
      <c r="M368" s="49">
        <v>0</v>
      </c>
      <c r="N368" s="49">
        <v>25120</v>
      </c>
      <c r="O368" s="49">
        <v>0</v>
      </c>
      <c r="P368" s="49">
        <v>3798</v>
      </c>
      <c r="Q368" s="49">
        <v>0</v>
      </c>
      <c r="R368" s="49">
        <v>21322</v>
      </c>
      <c r="S368" s="49">
        <v>1.72</v>
      </c>
      <c r="T368" s="49">
        <v>36673.839999999997</v>
      </c>
      <c r="U368" s="49"/>
      <c r="V368" s="49"/>
      <c r="W368" s="49"/>
      <c r="X368" s="49" t="s">
        <v>847</v>
      </c>
      <c r="Y368" s="49" t="s">
        <v>848</v>
      </c>
      <c r="Z368" s="49" t="s">
        <v>443</v>
      </c>
      <c r="AA368" s="49" t="s">
        <v>643</v>
      </c>
      <c r="AB368" s="101" t="s">
        <v>849</v>
      </c>
    </row>
    <row r="369" spans="2:28" x14ac:dyDescent="0.15">
      <c r="B369" s="138" t="s">
        <v>588</v>
      </c>
      <c r="C369" s="113">
        <v>43132.654861111114</v>
      </c>
      <c r="D369" s="49" t="s">
        <v>850</v>
      </c>
      <c r="E369" s="49">
        <v>180201023</v>
      </c>
      <c r="F369" s="49">
        <v>23.7</v>
      </c>
      <c r="G369" s="49">
        <v>1</v>
      </c>
      <c r="H369" s="49">
        <v>7</v>
      </c>
      <c r="I369" s="49">
        <v>0</v>
      </c>
      <c r="J369" s="49">
        <v>2</v>
      </c>
      <c r="K369" s="49">
        <v>71290</v>
      </c>
      <c r="L369" s="49">
        <v>21820</v>
      </c>
      <c r="M369" s="49">
        <v>0</v>
      </c>
      <c r="N369" s="49">
        <v>49470</v>
      </c>
      <c r="O369" s="49">
        <v>0</v>
      </c>
      <c r="P369" s="49">
        <v>5758</v>
      </c>
      <c r="Q369" s="49">
        <v>0</v>
      </c>
      <c r="R369" s="49">
        <v>43712</v>
      </c>
      <c r="S369" s="49">
        <v>1.72</v>
      </c>
      <c r="T369" s="49">
        <v>75184.639999999999</v>
      </c>
      <c r="U369" s="49"/>
      <c r="V369" s="49"/>
      <c r="W369" s="49"/>
      <c r="X369" s="49" t="s">
        <v>851</v>
      </c>
      <c r="Y369" s="49" t="s">
        <v>852</v>
      </c>
      <c r="Z369" s="49" t="s">
        <v>768</v>
      </c>
      <c r="AA369" s="49" t="s">
        <v>643</v>
      </c>
      <c r="AB369" s="101" t="s">
        <v>853</v>
      </c>
    </row>
    <row r="370" spans="2:28" x14ac:dyDescent="0.15">
      <c r="B370" s="138" t="s">
        <v>588</v>
      </c>
      <c r="C370" s="113">
        <v>43132.661805555559</v>
      </c>
      <c r="D370" s="49" t="s">
        <v>854</v>
      </c>
      <c r="E370" s="49">
        <v>180201014</v>
      </c>
      <c r="F370" s="49">
        <v>26.3</v>
      </c>
      <c r="G370" s="49">
        <v>1.2</v>
      </c>
      <c r="H370" s="49">
        <v>8</v>
      </c>
      <c r="I370" s="49">
        <v>0</v>
      </c>
      <c r="J370" s="49">
        <v>3</v>
      </c>
      <c r="K370" s="49">
        <v>89550</v>
      </c>
      <c r="L370" s="49">
        <v>19670</v>
      </c>
      <c r="M370" s="49">
        <v>140</v>
      </c>
      <c r="N370" s="49">
        <v>69880</v>
      </c>
      <c r="O370" s="49">
        <v>0</v>
      </c>
      <c r="P370" s="49">
        <v>10314</v>
      </c>
      <c r="Q370" s="49">
        <v>0</v>
      </c>
      <c r="R370" s="49">
        <v>59426</v>
      </c>
      <c r="S370" s="49">
        <v>1.72</v>
      </c>
      <c r="T370" s="49">
        <v>102212.72</v>
      </c>
      <c r="U370" s="49"/>
      <c r="V370" s="49"/>
      <c r="W370" s="49"/>
      <c r="X370" s="49" t="s">
        <v>469</v>
      </c>
      <c r="Y370" s="49" t="s">
        <v>470</v>
      </c>
      <c r="Z370" s="49" t="s">
        <v>471</v>
      </c>
      <c r="AA370" s="49" t="s">
        <v>643</v>
      </c>
      <c r="AB370" s="101" t="s">
        <v>688</v>
      </c>
    </row>
    <row r="371" spans="2:28" x14ac:dyDescent="0.15">
      <c r="B371" s="138" t="s">
        <v>588</v>
      </c>
      <c r="C371" s="113">
        <v>43132.665277777778</v>
      </c>
      <c r="D371" s="49" t="s">
        <v>455</v>
      </c>
      <c r="E371" s="49">
        <v>180201015</v>
      </c>
      <c r="F371" s="49">
        <v>26.5</v>
      </c>
      <c r="G371" s="49">
        <v>1.2</v>
      </c>
      <c r="H371" s="49">
        <v>9</v>
      </c>
      <c r="I371" s="49">
        <v>0</v>
      </c>
      <c r="J371" s="49">
        <v>4</v>
      </c>
      <c r="K371" s="49">
        <v>86970</v>
      </c>
      <c r="L371" s="49">
        <v>20910</v>
      </c>
      <c r="M371" s="49">
        <v>132</v>
      </c>
      <c r="N371" s="49">
        <v>66060</v>
      </c>
      <c r="O371" s="49">
        <v>0</v>
      </c>
      <c r="P371" s="49">
        <v>9909</v>
      </c>
      <c r="Q371" s="49">
        <v>0</v>
      </c>
      <c r="R371" s="49">
        <v>56019</v>
      </c>
      <c r="S371" s="49">
        <v>1.72</v>
      </c>
      <c r="T371" s="49">
        <v>96352.68</v>
      </c>
      <c r="U371" s="49"/>
      <c r="V371" s="49"/>
      <c r="W371" s="49"/>
      <c r="X371" s="49" t="s">
        <v>469</v>
      </c>
      <c r="Y371" s="49" t="s">
        <v>470</v>
      </c>
      <c r="Z371" s="49" t="s">
        <v>471</v>
      </c>
      <c r="AA371" s="49" t="s">
        <v>643</v>
      </c>
      <c r="AB371" s="101" t="s">
        <v>688</v>
      </c>
    </row>
    <row r="372" spans="2:28" x14ac:dyDescent="0.15">
      <c r="B372" s="138" t="s">
        <v>588</v>
      </c>
      <c r="C372" s="113">
        <v>43132.708333333336</v>
      </c>
      <c r="D372" s="49" t="s">
        <v>320</v>
      </c>
      <c r="E372" s="49">
        <v>180201022</v>
      </c>
      <c r="F372" s="49">
        <v>24</v>
      </c>
      <c r="G372" s="49">
        <v>1</v>
      </c>
      <c r="H372" s="49">
        <v>8</v>
      </c>
      <c r="I372" s="49">
        <v>0</v>
      </c>
      <c r="J372" s="49">
        <v>3</v>
      </c>
      <c r="K372" s="49">
        <v>63420</v>
      </c>
      <c r="L372" s="49">
        <v>14370</v>
      </c>
      <c r="M372" s="49">
        <v>0</v>
      </c>
      <c r="N372" s="49">
        <v>49050</v>
      </c>
      <c r="O372" s="49">
        <v>0</v>
      </c>
      <c r="P372" s="49">
        <v>5886</v>
      </c>
      <c r="Q372" s="49">
        <v>0</v>
      </c>
      <c r="R372" s="49">
        <v>43164</v>
      </c>
      <c r="S372" s="49">
        <v>1.72</v>
      </c>
      <c r="T372" s="49">
        <v>74242.080000000002</v>
      </c>
      <c r="U372" s="49"/>
      <c r="V372" s="49"/>
      <c r="W372" s="49"/>
      <c r="X372" s="49" t="s">
        <v>855</v>
      </c>
      <c r="Y372" s="49" t="s">
        <v>856</v>
      </c>
      <c r="Z372" s="49" t="s">
        <v>471</v>
      </c>
      <c r="AA372" s="49" t="s">
        <v>643</v>
      </c>
      <c r="AB372" s="101" t="s">
        <v>857</v>
      </c>
    </row>
    <row r="373" spans="2:28" x14ac:dyDescent="0.15">
      <c r="B373" s="138" t="s">
        <v>588</v>
      </c>
      <c r="C373" s="113">
        <v>43132.712500000001</v>
      </c>
      <c r="D373" s="49" t="s">
        <v>858</v>
      </c>
      <c r="E373" s="49">
        <v>180201024</v>
      </c>
      <c r="F373" s="49">
        <v>24.2</v>
      </c>
      <c r="G373" s="49">
        <v>1</v>
      </c>
      <c r="H373" s="49">
        <v>7</v>
      </c>
      <c r="I373" s="49">
        <v>0</v>
      </c>
      <c r="J373" s="49">
        <v>2</v>
      </c>
      <c r="K373" s="49">
        <v>80660</v>
      </c>
      <c r="L373" s="49">
        <v>18120</v>
      </c>
      <c r="M373" s="49">
        <v>0</v>
      </c>
      <c r="N373" s="49">
        <v>62540</v>
      </c>
      <c r="O373" s="49">
        <v>0</v>
      </c>
      <c r="P373" s="49">
        <v>7655</v>
      </c>
      <c r="Q373" s="49">
        <v>0</v>
      </c>
      <c r="R373" s="49">
        <v>54885</v>
      </c>
      <c r="S373" s="49">
        <v>1.72</v>
      </c>
      <c r="T373" s="49">
        <v>94402.2</v>
      </c>
      <c r="U373" s="49"/>
      <c r="V373" s="49"/>
      <c r="W373" s="49"/>
      <c r="X373" s="49" t="s">
        <v>572</v>
      </c>
      <c r="Y373" s="49" t="s">
        <v>573</v>
      </c>
      <c r="Z373" s="49" t="s">
        <v>574</v>
      </c>
      <c r="AA373" s="49" t="s">
        <v>643</v>
      </c>
      <c r="AB373" s="101" t="s">
        <v>711</v>
      </c>
    </row>
    <row r="374" spans="2:28" x14ac:dyDescent="0.15">
      <c r="B374" s="138" t="s">
        <v>588</v>
      </c>
      <c r="C374" s="113">
        <v>43132.716666666667</v>
      </c>
      <c r="D374" s="49" t="s">
        <v>859</v>
      </c>
      <c r="E374" s="49">
        <v>180201028</v>
      </c>
      <c r="F374" s="49">
        <v>26.1</v>
      </c>
      <c r="G374" s="49">
        <v>1</v>
      </c>
      <c r="H374" s="49">
        <v>8</v>
      </c>
      <c r="I374" s="49">
        <v>0</v>
      </c>
      <c r="J374" s="49">
        <v>3</v>
      </c>
      <c r="K374" s="49">
        <v>14640</v>
      </c>
      <c r="L374" s="49">
        <v>3690</v>
      </c>
      <c r="M374" s="49">
        <v>0</v>
      </c>
      <c r="N374" s="49">
        <v>10950</v>
      </c>
      <c r="O374" s="49">
        <v>0</v>
      </c>
      <c r="P374" s="49">
        <v>1590</v>
      </c>
      <c r="Q374" s="49">
        <v>0</v>
      </c>
      <c r="R374" s="49">
        <v>9360</v>
      </c>
      <c r="S374" s="49">
        <v>1.72</v>
      </c>
      <c r="T374" s="49">
        <v>16099.199999999999</v>
      </c>
      <c r="U374" s="49"/>
      <c r="V374" s="49"/>
      <c r="W374" s="49"/>
      <c r="X374" s="49" t="s">
        <v>860</v>
      </c>
      <c r="Y374" s="49" t="s">
        <v>861</v>
      </c>
      <c r="Z374" s="49" t="s">
        <v>862</v>
      </c>
      <c r="AA374" s="49" t="s">
        <v>643</v>
      </c>
      <c r="AB374" s="101" t="s">
        <v>863</v>
      </c>
    </row>
    <row r="375" spans="2:28" x14ac:dyDescent="0.15">
      <c r="B375" s="138" t="s">
        <v>588</v>
      </c>
      <c r="C375" s="113">
        <v>43132.73333333333</v>
      </c>
      <c r="D375" s="49" t="s">
        <v>396</v>
      </c>
      <c r="E375" s="49">
        <v>180201025</v>
      </c>
      <c r="F375" s="49">
        <v>28.5</v>
      </c>
      <c r="G375" s="49">
        <v>1</v>
      </c>
      <c r="H375" s="49">
        <v>9</v>
      </c>
      <c r="I375" s="49">
        <v>0</v>
      </c>
      <c r="J375" s="49">
        <v>5</v>
      </c>
      <c r="K375" s="49">
        <v>60330</v>
      </c>
      <c r="L375" s="49">
        <v>14610</v>
      </c>
      <c r="M375" s="49">
        <v>0</v>
      </c>
      <c r="N375" s="49">
        <v>45720</v>
      </c>
      <c r="O375" s="49">
        <v>0</v>
      </c>
      <c r="P375" s="49">
        <v>7955</v>
      </c>
      <c r="Q375" s="49">
        <v>0</v>
      </c>
      <c r="R375" s="49">
        <v>37765</v>
      </c>
      <c r="S375" s="49">
        <v>1.72</v>
      </c>
      <c r="T375" s="49">
        <v>64955.799999999996</v>
      </c>
      <c r="U375" s="49"/>
      <c r="V375" s="49"/>
      <c r="W375" s="49"/>
      <c r="X375" s="49" t="s">
        <v>796</v>
      </c>
      <c r="Y375" s="49" t="s">
        <v>797</v>
      </c>
      <c r="Z375" s="49" t="s">
        <v>798</v>
      </c>
      <c r="AA375" s="49" t="s">
        <v>643</v>
      </c>
      <c r="AB375" s="101" t="s">
        <v>799</v>
      </c>
    </row>
    <row r="376" spans="2:28" x14ac:dyDescent="0.15">
      <c r="B376" s="138" t="s">
        <v>588</v>
      </c>
      <c r="C376" s="113">
        <v>43132.738888888889</v>
      </c>
      <c r="D376" s="49" t="s">
        <v>308</v>
      </c>
      <c r="E376" s="49">
        <v>180201021</v>
      </c>
      <c r="F376" s="49">
        <v>26</v>
      </c>
      <c r="G376" s="49">
        <v>1</v>
      </c>
      <c r="H376" s="49">
        <v>8</v>
      </c>
      <c r="I376" s="49">
        <v>0</v>
      </c>
      <c r="J376" s="49">
        <v>3</v>
      </c>
      <c r="K376" s="49">
        <v>64690</v>
      </c>
      <c r="L376" s="49">
        <v>16480</v>
      </c>
      <c r="M376" s="49">
        <v>0</v>
      </c>
      <c r="N376" s="49">
        <v>48210</v>
      </c>
      <c r="O376" s="49">
        <v>0</v>
      </c>
      <c r="P376" s="49">
        <v>6942</v>
      </c>
      <c r="Q376" s="49">
        <v>0</v>
      </c>
      <c r="R376" s="49">
        <v>41268</v>
      </c>
      <c r="S376" s="49">
        <v>1.72</v>
      </c>
      <c r="T376" s="49">
        <v>70980.959999999992</v>
      </c>
      <c r="U376" s="49"/>
      <c r="V376" s="49"/>
      <c r="W376" s="49"/>
      <c r="X376" s="49" t="s">
        <v>855</v>
      </c>
      <c r="Y376" s="49" t="s">
        <v>856</v>
      </c>
      <c r="Z376" s="49" t="s">
        <v>471</v>
      </c>
      <c r="AA376" s="49" t="s">
        <v>643</v>
      </c>
      <c r="AB376" s="101" t="s">
        <v>857</v>
      </c>
    </row>
    <row r="377" spans="2:28" x14ac:dyDescent="0.15">
      <c r="B377" s="138" t="s">
        <v>588</v>
      </c>
      <c r="C377" s="113">
        <v>43132.743750000001</v>
      </c>
      <c r="D377" s="49" t="s">
        <v>273</v>
      </c>
      <c r="E377" s="49">
        <v>180201033</v>
      </c>
      <c r="F377" s="49">
        <v>29.3</v>
      </c>
      <c r="G377" s="49">
        <v>1</v>
      </c>
      <c r="H377" s="49">
        <v>11</v>
      </c>
      <c r="I377" s="49">
        <v>0</v>
      </c>
      <c r="J377" s="49">
        <v>7</v>
      </c>
      <c r="K377" s="49">
        <v>20800</v>
      </c>
      <c r="L377" s="49">
        <v>7280</v>
      </c>
      <c r="M377" s="49">
        <v>0</v>
      </c>
      <c r="N377" s="49">
        <v>13520</v>
      </c>
      <c r="O377" s="49">
        <v>0</v>
      </c>
      <c r="P377" s="49">
        <v>2482</v>
      </c>
      <c r="Q377" s="49">
        <v>34</v>
      </c>
      <c r="R377" s="49">
        <v>11004</v>
      </c>
      <c r="S377" s="49">
        <v>1.72</v>
      </c>
      <c r="T377" s="49">
        <v>18926.88</v>
      </c>
      <c r="U377" s="49"/>
      <c r="V377" s="49"/>
      <c r="W377" s="49"/>
      <c r="X377" s="49" t="s">
        <v>274</v>
      </c>
      <c r="Y377" s="49" t="s">
        <v>275</v>
      </c>
      <c r="Z377" s="49" t="s">
        <v>276</v>
      </c>
      <c r="AA377" s="49" t="s">
        <v>643</v>
      </c>
      <c r="AB377" s="101" t="s">
        <v>634</v>
      </c>
    </row>
    <row r="378" spans="2:28" x14ac:dyDescent="0.15">
      <c r="B378" s="138" t="s">
        <v>588</v>
      </c>
      <c r="C378" s="113">
        <v>43132.75</v>
      </c>
      <c r="D378" s="49" t="s">
        <v>864</v>
      </c>
      <c r="E378" s="49">
        <v>180201031</v>
      </c>
      <c r="F378" s="49">
        <v>26.1</v>
      </c>
      <c r="G378" s="49">
        <v>1</v>
      </c>
      <c r="H378" s="49">
        <v>8</v>
      </c>
      <c r="I378" s="49">
        <v>0</v>
      </c>
      <c r="J378" s="49">
        <v>3</v>
      </c>
      <c r="K378" s="49">
        <v>30150</v>
      </c>
      <c r="L378" s="49">
        <v>7510</v>
      </c>
      <c r="M378" s="49">
        <v>0</v>
      </c>
      <c r="N378" s="49">
        <v>22640</v>
      </c>
      <c r="O378" s="49">
        <v>0</v>
      </c>
      <c r="P378" s="49">
        <v>3287</v>
      </c>
      <c r="Q378" s="49">
        <v>0</v>
      </c>
      <c r="R378" s="49">
        <v>19353</v>
      </c>
      <c r="S378" s="49">
        <v>1.72</v>
      </c>
      <c r="T378" s="49">
        <v>33287.159999999996</v>
      </c>
      <c r="U378" s="49"/>
      <c r="V378" s="49"/>
      <c r="W378" s="49"/>
      <c r="X378" s="49" t="s">
        <v>865</v>
      </c>
      <c r="Y378" s="49" t="s">
        <v>866</v>
      </c>
      <c r="Z378" s="49" t="s">
        <v>867</v>
      </c>
      <c r="AA378" s="49" t="s">
        <v>868</v>
      </c>
      <c r="AB378" s="101" t="s">
        <v>869</v>
      </c>
    </row>
    <row r="379" spans="2:28" x14ac:dyDescent="0.15">
      <c r="B379" s="138" t="s">
        <v>588</v>
      </c>
      <c r="C379" s="113">
        <v>43132.772916666669</v>
      </c>
      <c r="D379" s="49" t="s">
        <v>738</v>
      </c>
      <c r="E379" s="49">
        <v>180201037</v>
      </c>
      <c r="F379" s="49">
        <v>25</v>
      </c>
      <c r="G379" s="49">
        <v>1</v>
      </c>
      <c r="H379" s="49">
        <v>7</v>
      </c>
      <c r="I379" s="49">
        <v>0</v>
      </c>
      <c r="J379" s="49">
        <v>2</v>
      </c>
      <c r="K379" s="49">
        <v>30140</v>
      </c>
      <c r="L379" s="49">
        <v>7030</v>
      </c>
      <c r="M379" s="49">
        <v>0</v>
      </c>
      <c r="N379" s="49">
        <v>23110</v>
      </c>
      <c r="O379" s="49">
        <v>0</v>
      </c>
      <c r="P379" s="49">
        <v>3051</v>
      </c>
      <c r="Q379" s="49">
        <v>0</v>
      </c>
      <c r="R379" s="49">
        <v>20059</v>
      </c>
      <c r="S379" s="49">
        <v>1.72</v>
      </c>
      <c r="T379" s="49">
        <v>34501.479999999996</v>
      </c>
      <c r="U379" s="49"/>
      <c r="V379" s="49"/>
      <c r="W379" s="49"/>
      <c r="X379" s="49" t="s">
        <v>739</v>
      </c>
      <c r="Y379" s="49" t="s">
        <v>740</v>
      </c>
      <c r="Z379" s="49" t="s">
        <v>741</v>
      </c>
      <c r="AA379" s="49" t="s">
        <v>643</v>
      </c>
      <c r="AB379" s="101" t="s">
        <v>742</v>
      </c>
    </row>
    <row r="380" spans="2:28" x14ac:dyDescent="0.15">
      <c r="B380" s="138" t="s">
        <v>588</v>
      </c>
      <c r="C380" s="113">
        <v>43132.779861111114</v>
      </c>
      <c r="D380" s="49" t="s">
        <v>823</v>
      </c>
      <c r="E380" s="49">
        <v>180201036</v>
      </c>
      <c r="F380" s="49">
        <v>27.1</v>
      </c>
      <c r="G380" s="49">
        <v>1</v>
      </c>
      <c r="H380" s="49">
        <v>7</v>
      </c>
      <c r="I380" s="49">
        <v>0</v>
      </c>
      <c r="J380" s="49">
        <v>2</v>
      </c>
      <c r="K380" s="49">
        <v>24400</v>
      </c>
      <c r="L380" s="49">
        <v>7550</v>
      </c>
      <c r="M380" s="49">
        <v>0</v>
      </c>
      <c r="N380" s="49">
        <v>16850</v>
      </c>
      <c r="O380" s="49">
        <v>0</v>
      </c>
      <c r="P380" s="49">
        <v>2649</v>
      </c>
      <c r="Q380" s="49">
        <v>0</v>
      </c>
      <c r="R380" s="49">
        <v>14201</v>
      </c>
      <c r="S380" s="49">
        <v>1.72</v>
      </c>
      <c r="T380" s="49">
        <v>24425.72</v>
      </c>
      <c r="U380" s="49"/>
      <c r="V380" s="49"/>
      <c r="W380" s="49"/>
      <c r="X380" s="49" t="s">
        <v>739</v>
      </c>
      <c r="Y380" s="49" t="s">
        <v>740</v>
      </c>
      <c r="Z380" s="49" t="s">
        <v>741</v>
      </c>
      <c r="AA380" s="49" t="s">
        <v>643</v>
      </c>
      <c r="AB380" s="101" t="s">
        <v>742</v>
      </c>
    </row>
    <row r="381" spans="2:28" x14ac:dyDescent="0.15">
      <c r="B381" s="138" t="s">
        <v>588</v>
      </c>
      <c r="C381" s="113">
        <v>43132.78402777778</v>
      </c>
      <c r="D381" s="49" t="s">
        <v>870</v>
      </c>
      <c r="E381" s="49">
        <v>180201027</v>
      </c>
      <c r="F381" s="49">
        <v>24.5</v>
      </c>
      <c r="G381" s="49">
        <v>1</v>
      </c>
      <c r="H381" s="49">
        <v>7</v>
      </c>
      <c r="I381" s="49">
        <v>0</v>
      </c>
      <c r="J381" s="49">
        <v>2</v>
      </c>
      <c r="K381" s="49">
        <v>93780</v>
      </c>
      <c r="L381" s="49">
        <v>22350</v>
      </c>
      <c r="M381" s="49">
        <v>0</v>
      </c>
      <c r="N381" s="49">
        <v>71430</v>
      </c>
      <c r="O381" s="49">
        <v>0</v>
      </c>
      <c r="P381" s="49">
        <v>9000</v>
      </c>
      <c r="Q381" s="49">
        <v>0</v>
      </c>
      <c r="R381" s="49">
        <v>62430</v>
      </c>
      <c r="S381" s="49">
        <v>1.72</v>
      </c>
      <c r="T381" s="49">
        <v>107379.59999999999</v>
      </c>
      <c r="U381" s="49"/>
      <c r="V381" s="49"/>
      <c r="W381" s="49"/>
      <c r="X381" s="49" t="s">
        <v>572</v>
      </c>
      <c r="Y381" s="49" t="s">
        <v>573</v>
      </c>
      <c r="Z381" s="49" t="s">
        <v>574</v>
      </c>
      <c r="AA381" s="49" t="s">
        <v>643</v>
      </c>
      <c r="AB381" s="101" t="s">
        <v>711</v>
      </c>
    </row>
    <row r="382" spans="2:28" x14ac:dyDescent="0.15">
      <c r="B382" s="138" t="s">
        <v>588</v>
      </c>
      <c r="C382" s="113">
        <v>43132.791666666664</v>
      </c>
      <c r="D382" s="49" t="s">
        <v>871</v>
      </c>
      <c r="E382" s="49">
        <v>180201026</v>
      </c>
      <c r="F382" s="49">
        <v>28.2</v>
      </c>
      <c r="G382" s="49">
        <v>1</v>
      </c>
      <c r="H382" s="49">
        <v>9</v>
      </c>
      <c r="I382" s="49">
        <v>0</v>
      </c>
      <c r="J382" s="49">
        <v>4</v>
      </c>
      <c r="K382" s="49">
        <v>69020</v>
      </c>
      <c r="L382" s="49">
        <v>17550</v>
      </c>
      <c r="M382" s="49">
        <v>0</v>
      </c>
      <c r="N382" s="49">
        <v>51470</v>
      </c>
      <c r="O382" s="49">
        <v>0</v>
      </c>
      <c r="P382" s="49">
        <v>8770</v>
      </c>
      <c r="Q382" s="49">
        <v>0</v>
      </c>
      <c r="R382" s="49">
        <v>42700</v>
      </c>
      <c r="S382" s="49">
        <v>1.72</v>
      </c>
      <c r="T382" s="49">
        <v>73444</v>
      </c>
      <c r="U382" s="49"/>
      <c r="V382" s="49"/>
      <c r="W382" s="49"/>
      <c r="X382" s="49" t="s">
        <v>796</v>
      </c>
      <c r="Y382" s="49" t="s">
        <v>797</v>
      </c>
      <c r="Z382" s="49" t="s">
        <v>798</v>
      </c>
      <c r="AA382" s="49" t="s">
        <v>643</v>
      </c>
      <c r="AB382" s="101" t="s">
        <v>799</v>
      </c>
    </row>
    <row r="383" spans="2:28" x14ac:dyDescent="0.15">
      <c r="C383" s="113" t="s">
        <v>679</v>
      </c>
      <c r="D383" s="49"/>
      <c r="E383" s="49"/>
      <c r="F383" s="49"/>
      <c r="G383" s="49"/>
      <c r="H383" s="49"/>
      <c r="I383" s="49"/>
      <c r="J383" s="49"/>
      <c r="K383" s="49"/>
      <c r="L383" s="49"/>
      <c r="M383" s="49"/>
      <c r="N383" s="49"/>
      <c r="O383" s="49"/>
      <c r="P383" s="49"/>
      <c r="Q383" s="49"/>
      <c r="R383" s="49"/>
      <c r="S383" s="49"/>
      <c r="T383" s="49"/>
      <c r="U383" s="49"/>
      <c r="V383" s="49"/>
      <c r="W383" s="49"/>
      <c r="X383" s="49"/>
      <c r="Y383" s="49"/>
      <c r="Z383" s="49"/>
      <c r="AA383" s="49"/>
      <c r="AB383" s="101"/>
    </row>
    <row r="384" spans="2:28" x14ac:dyDescent="0.15">
      <c r="B384" s="138" t="s">
        <v>588</v>
      </c>
      <c r="C384" s="113">
        <v>43132.844444444447</v>
      </c>
      <c r="D384" s="49" t="s">
        <v>345</v>
      </c>
      <c r="E384" s="49">
        <v>180201032</v>
      </c>
      <c r="F384" s="49">
        <v>28.2</v>
      </c>
      <c r="G384" s="49">
        <v>1</v>
      </c>
      <c r="H384" s="49">
        <v>8</v>
      </c>
      <c r="I384" s="49">
        <v>0</v>
      </c>
      <c r="J384" s="49">
        <v>3</v>
      </c>
      <c r="K384" s="49">
        <v>93430</v>
      </c>
      <c r="L384" s="49">
        <v>23030</v>
      </c>
      <c r="M384" s="49">
        <v>0</v>
      </c>
      <c r="N384" s="49">
        <v>70400</v>
      </c>
      <c r="O384" s="49">
        <v>0</v>
      </c>
      <c r="P384" s="49">
        <v>11996</v>
      </c>
      <c r="Q384" s="49">
        <v>0</v>
      </c>
      <c r="R384" s="49">
        <v>58404</v>
      </c>
      <c r="S384" s="49">
        <v>1.72</v>
      </c>
      <c r="T384" s="49">
        <v>100454.88</v>
      </c>
      <c r="U384" s="49"/>
      <c r="V384" s="49"/>
      <c r="W384" s="49"/>
      <c r="X384" s="49" t="s">
        <v>748</v>
      </c>
      <c r="Y384" s="49" t="s">
        <v>477</v>
      </c>
      <c r="Z384" s="49" t="s">
        <v>749</v>
      </c>
      <c r="AA384" s="49" t="s">
        <v>786</v>
      </c>
      <c r="AB384" s="101" t="s">
        <v>692</v>
      </c>
    </row>
    <row r="385" spans="2:28" x14ac:dyDescent="0.15">
      <c r="B385" s="138" t="s">
        <v>588</v>
      </c>
      <c r="C385" s="113">
        <v>43133.402083333334</v>
      </c>
      <c r="D385" s="49" t="s">
        <v>208</v>
      </c>
      <c r="E385" s="49">
        <v>180202002</v>
      </c>
      <c r="F385" s="49">
        <v>28.4</v>
      </c>
      <c r="G385" s="49">
        <v>1</v>
      </c>
      <c r="H385" s="49">
        <v>10</v>
      </c>
      <c r="I385" s="49">
        <v>0</v>
      </c>
      <c r="J385" s="49">
        <v>5</v>
      </c>
      <c r="K385" s="49">
        <v>36580</v>
      </c>
      <c r="L385" s="49">
        <v>13310</v>
      </c>
      <c r="M385" s="49">
        <v>0</v>
      </c>
      <c r="N385" s="49">
        <v>23270</v>
      </c>
      <c r="O385" s="49">
        <v>0</v>
      </c>
      <c r="P385" s="49">
        <v>4021</v>
      </c>
      <c r="Q385" s="49">
        <v>0</v>
      </c>
      <c r="R385" s="49">
        <v>19249</v>
      </c>
      <c r="S385" s="49">
        <v>1.72</v>
      </c>
      <c r="T385" s="49">
        <v>33108.28</v>
      </c>
      <c r="U385" s="49"/>
      <c r="V385" s="49"/>
      <c r="W385" s="49"/>
      <c r="X385" s="49" t="s">
        <v>872</v>
      </c>
      <c r="Y385" s="49" t="s">
        <v>873</v>
      </c>
      <c r="Z385" s="49" t="s">
        <v>207</v>
      </c>
      <c r="AA385" s="49" t="s">
        <v>643</v>
      </c>
      <c r="AB385" s="101" t="s">
        <v>874</v>
      </c>
    </row>
    <row r="386" spans="2:28" x14ac:dyDescent="0.15">
      <c r="B386" s="138" t="s">
        <v>588</v>
      </c>
      <c r="C386" s="113">
        <v>43133.40902777778</v>
      </c>
      <c r="D386" s="49" t="s">
        <v>525</v>
      </c>
      <c r="E386" s="49">
        <v>180202006</v>
      </c>
      <c r="F386" s="49">
        <v>24.9</v>
      </c>
      <c r="G386" s="49">
        <v>1</v>
      </c>
      <c r="H386" s="49">
        <v>8</v>
      </c>
      <c r="I386" s="49">
        <v>0</v>
      </c>
      <c r="J386" s="49">
        <v>3</v>
      </c>
      <c r="K386" s="49">
        <v>30070</v>
      </c>
      <c r="L386" s="49">
        <v>9320</v>
      </c>
      <c r="M386" s="49">
        <v>0</v>
      </c>
      <c r="N386" s="49">
        <v>20750</v>
      </c>
      <c r="O386" s="49">
        <v>0</v>
      </c>
      <c r="P386" s="49">
        <v>2714</v>
      </c>
      <c r="Q386" s="49">
        <v>0</v>
      </c>
      <c r="R386" s="49">
        <v>18036</v>
      </c>
      <c r="S386" s="49">
        <v>1.72</v>
      </c>
      <c r="T386" s="49">
        <v>31021.919999999998</v>
      </c>
      <c r="U386" s="49"/>
      <c r="V386" s="49"/>
      <c r="W386" s="49"/>
      <c r="X386" s="49" t="s">
        <v>875</v>
      </c>
      <c r="Y386" s="49" t="s">
        <v>876</v>
      </c>
      <c r="Z386" s="49" t="s">
        <v>877</v>
      </c>
      <c r="AA386" s="49" t="s">
        <v>643</v>
      </c>
      <c r="AB386" s="101" t="s">
        <v>878</v>
      </c>
    </row>
    <row r="387" spans="2:28" x14ac:dyDescent="0.15">
      <c r="B387" s="138" t="s">
        <v>588</v>
      </c>
      <c r="C387" s="113">
        <v>43133.417361111111</v>
      </c>
      <c r="D387" s="49" t="s">
        <v>879</v>
      </c>
      <c r="E387" s="49">
        <v>180202003</v>
      </c>
      <c r="F387" s="49">
        <v>28.4</v>
      </c>
      <c r="G387" s="49">
        <v>1</v>
      </c>
      <c r="H387" s="49">
        <v>9</v>
      </c>
      <c r="I387" s="49">
        <v>0</v>
      </c>
      <c r="J387" s="49">
        <v>4</v>
      </c>
      <c r="K387" s="49">
        <v>20070</v>
      </c>
      <c r="L387" s="49">
        <v>7080</v>
      </c>
      <c r="M387" s="49">
        <v>0</v>
      </c>
      <c r="N387" s="49">
        <v>12990</v>
      </c>
      <c r="O387" s="49">
        <v>0</v>
      </c>
      <c r="P387" s="49">
        <v>2245</v>
      </c>
      <c r="Q387" s="49">
        <v>0</v>
      </c>
      <c r="R387" s="49">
        <v>10745</v>
      </c>
      <c r="S387" s="49">
        <v>1.72</v>
      </c>
      <c r="T387" s="49">
        <v>18481.400000000001</v>
      </c>
      <c r="U387" s="49"/>
      <c r="V387" s="49"/>
      <c r="W387" s="49"/>
      <c r="X387" s="49" t="s">
        <v>880</v>
      </c>
      <c r="Y387" s="49" t="s">
        <v>881</v>
      </c>
      <c r="Z387" s="49" t="s">
        <v>882</v>
      </c>
      <c r="AA387" s="49" t="s">
        <v>643</v>
      </c>
      <c r="AB387" s="101" t="s">
        <v>883</v>
      </c>
    </row>
    <row r="388" spans="2:28" x14ac:dyDescent="0.15">
      <c r="B388" s="138" t="s">
        <v>588</v>
      </c>
      <c r="C388" s="113">
        <v>43133.426388888889</v>
      </c>
      <c r="D388" s="49" t="s">
        <v>884</v>
      </c>
      <c r="E388" s="49">
        <v>180202001</v>
      </c>
      <c r="F388" s="49">
        <v>29.2</v>
      </c>
      <c r="G388" s="49">
        <v>1</v>
      </c>
      <c r="H388" s="49">
        <v>8</v>
      </c>
      <c r="I388" s="49">
        <v>0</v>
      </c>
      <c r="J388" s="49">
        <v>3</v>
      </c>
      <c r="K388" s="49">
        <v>58000</v>
      </c>
      <c r="L388" s="49">
        <v>15010</v>
      </c>
      <c r="M388" s="49">
        <v>0</v>
      </c>
      <c r="N388" s="49">
        <v>42990</v>
      </c>
      <c r="O388" s="49">
        <v>0</v>
      </c>
      <c r="P388" s="49">
        <v>7841</v>
      </c>
      <c r="Q388" s="49">
        <v>0</v>
      </c>
      <c r="R388" s="49">
        <v>35149</v>
      </c>
      <c r="S388" s="49">
        <v>1.72</v>
      </c>
      <c r="T388" s="49">
        <v>60456.28</v>
      </c>
      <c r="U388" s="49"/>
      <c r="V388" s="49"/>
      <c r="W388" s="49"/>
      <c r="X388" s="49" t="s">
        <v>796</v>
      </c>
      <c r="Y388" s="49" t="s">
        <v>797</v>
      </c>
      <c r="Z388" s="49" t="s">
        <v>798</v>
      </c>
      <c r="AA388" s="49" t="s">
        <v>643</v>
      </c>
      <c r="AB388" s="101" t="s">
        <v>799</v>
      </c>
    </row>
    <row r="389" spans="2:28" x14ac:dyDescent="0.15">
      <c r="B389" s="138" t="s">
        <v>588</v>
      </c>
      <c r="C389" s="113">
        <v>43133.449305555558</v>
      </c>
      <c r="D389" s="49" t="s">
        <v>544</v>
      </c>
      <c r="E389" s="49">
        <v>180202005</v>
      </c>
      <c r="F389" s="49">
        <v>31.5</v>
      </c>
      <c r="G389" s="49">
        <v>1</v>
      </c>
      <c r="H389" s="49">
        <v>10</v>
      </c>
      <c r="I389" s="49">
        <v>0</v>
      </c>
      <c r="J389" s="49">
        <v>5</v>
      </c>
      <c r="K389" s="49">
        <v>48870</v>
      </c>
      <c r="L389" s="49">
        <v>13700</v>
      </c>
      <c r="M389" s="49">
        <v>0</v>
      </c>
      <c r="N389" s="49">
        <v>35170</v>
      </c>
      <c r="O389" s="49">
        <v>0</v>
      </c>
      <c r="P389" s="49">
        <v>7386</v>
      </c>
      <c r="Q389" s="49">
        <v>0</v>
      </c>
      <c r="R389" s="49">
        <v>27784</v>
      </c>
      <c r="S389" s="49">
        <v>1.72</v>
      </c>
      <c r="T389" s="49">
        <v>47788.479999999996</v>
      </c>
      <c r="U389" s="49"/>
      <c r="V389" s="49"/>
      <c r="W389" s="49"/>
      <c r="X389" s="49" t="s">
        <v>885</v>
      </c>
      <c r="Y389" s="49" t="s">
        <v>886</v>
      </c>
      <c r="Z389" s="49" t="s">
        <v>887</v>
      </c>
      <c r="AA389" s="49" t="s">
        <v>888</v>
      </c>
      <c r="AB389" s="101" t="s">
        <v>889</v>
      </c>
    </row>
    <row r="390" spans="2:28" x14ac:dyDescent="0.15">
      <c r="B390" s="138" t="s">
        <v>588</v>
      </c>
      <c r="C390" s="113">
        <v>43133.518750000003</v>
      </c>
      <c r="D390" s="49" t="s">
        <v>433</v>
      </c>
      <c r="E390" s="49">
        <v>180202004</v>
      </c>
      <c r="F390" s="49">
        <v>27.5</v>
      </c>
      <c r="G390" s="49">
        <v>1</v>
      </c>
      <c r="H390" s="49">
        <v>8</v>
      </c>
      <c r="I390" s="49">
        <v>0</v>
      </c>
      <c r="J390" s="49">
        <v>3</v>
      </c>
      <c r="K390" s="49">
        <v>65090</v>
      </c>
      <c r="L390" s="49">
        <v>16980</v>
      </c>
      <c r="M390" s="49">
        <v>0</v>
      </c>
      <c r="N390" s="49">
        <v>48110</v>
      </c>
      <c r="O390" s="49">
        <v>0</v>
      </c>
      <c r="P390" s="49">
        <v>7794</v>
      </c>
      <c r="Q390" s="49">
        <v>0</v>
      </c>
      <c r="R390" s="49">
        <v>40316</v>
      </c>
      <c r="S390" s="49">
        <v>1.72</v>
      </c>
      <c r="T390" s="49">
        <v>69343.520000000004</v>
      </c>
      <c r="U390" s="49"/>
      <c r="V390" s="49"/>
      <c r="W390" s="49"/>
      <c r="X390" s="49" t="s">
        <v>434</v>
      </c>
      <c r="Y390" s="49" t="s">
        <v>435</v>
      </c>
      <c r="Z390" s="49" t="s">
        <v>436</v>
      </c>
      <c r="AA390" s="49" t="s">
        <v>698</v>
      </c>
      <c r="AB390" s="101" t="s">
        <v>680</v>
      </c>
    </row>
    <row r="391" spans="2:28" x14ac:dyDescent="0.15">
      <c r="B391" s="138" t="s">
        <v>588</v>
      </c>
      <c r="C391" s="113">
        <v>43133.550694444442</v>
      </c>
      <c r="D391" s="49" t="s">
        <v>336</v>
      </c>
      <c r="E391" s="49">
        <v>180202007</v>
      </c>
      <c r="F391" s="49">
        <v>25.8</v>
      </c>
      <c r="G391" s="49">
        <v>1</v>
      </c>
      <c r="H391" s="49">
        <v>8</v>
      </c>
      <c r="I391" s="49">
        <v>0</v>
      </c>
      <c r="J391" s="49">
        <v>3</v>
      </c>
      <c r="K391" s="49">
        <v>29350</v>
      </c>
      <c r="L391" s="49">
        <v>12470</v>
      </c>
      <c r="M391" s="49">
        <v>0</v>
      </c>
      <c r="N391" s="49">
        <v>16880</v>
      </c>
      <c r="O391" s="49">
        <v>0</v>
      </c>
      <c r="P391" s="49">
        <v>2390</v>
      </c>
      <c r="Q391" s="49">
        <v>0</v>
      </c>
      <c r="R391" s="49">
        <v>14490</v>
      </c>
      <c r="S391" s="49">
        <v>1.72</v>
      </c>
      <c r="T391" s="49">
        <v>24922.799999999999</v>
      </c>
      <c r="U391" s="49"/>
      <c r="V391" s="49"/>
      <c r="W391" s="49"/>
      <c r="X391" s="49" t="s">
        <v>333</v>
      </c>
      <c r="Y391" s="49" t="s">
        <v>334</v>
      </c>
      <c r="Z391" s="49" t="s">
        <v>335</v>
      </c>
      <c r="AA391" s="49" t="s">
        <v>643</v>
      </c>
      <c r="AB391" s="101" t="s">
        <v>656</v>
      </c>
    </row>
    <row r="392" spans="2:28" x14ac:dyDescent="0.15">
      <c r="B392" s="138" t="s">
        <v>588</v>
      </c>
      <c r="C392" s="113">
        <v>43133.556944444441</v>
      </c>
      <c r="D392" s="49" t="s">
        <v>890</v>
      </c>
      <c r="E392" s="49">
        <v>180202008</v>
      </c>
      <c r="F392" s="49">
        <v>24.3</v>
      </c>
      <c r="G392" s="49">
        <v>1</v>
      </c>
      <c r="H392" s="49">
        <v>8</v>
      </c>
      <c r="I392" s="49">
        <v>0</v>
      </c>
      <c r="J392" s="49">
        <v>3</v>
      </c>
      <c r="K392" s="49">
        <v>85440</v>
      </c>
      <c r="L392" s="49">
        <v>19140</v>
      </c>
      <c r="M392" s="49">
        <v>0</v>
      </c>
      <c r="N392" s="49">
        <v>66300</v>
      </c>
      <c r="O392" s="49">
        <v>0</v>
      </c>
      <c r="P392" s="49">
        <v>8195</v>
      </c>
      <c r="Q392" s="49">
        <v>0</v>
      </c>
      <c r="R392" s="49">
        <v>58105</v>
      </c>
      <c r="S392" s="49">
        <v>1.72</v>
      </c>
      <c r="T392" s="49">
        <v>99940.599999999991</v>
      </c>
      <c r="U392" s="49"/>
      <c r="V392" s="49"/>
      <c r="W392" s="49"/>
      <c r="X392" s="49" t="s">
        <v>469</v>
      </c>
      <c r="Y392" s="49" t="s">
        <v>470</v>
      </c>
      <c r="Z392" s="49" t="s">
        <v>471</v>
      </c>
      <c r="AA392" s="49" t="s">
        <v>643</v>
      </c>
      <c r="AB392" s="101" t="s">
        <v>688</v>
      </c>
    </row>
    <row r="393" spans="2:28" x14ac:dyDescent="0.15">
      <c r="B393" s="138" t="s">
        <v>588</v>
      </c>
      <c r="C393" s="113">
        <v>43133.602083333331</v>
      </c>
      <c r="D393" s="49" t="s">
        <v>760</v>
      </c>
      <c r="E393" s="49">
        <v>180202013</v>
      </c>
      <c r="F393" s="49">
        <v>29.5</v>
      </c>
      <c r="G393" s="49">
        <v>1</v>
      </c>
      <c r="H393" s="49">
        <v>8</v>
      </c>
      <c r="I393" s="49">
        <v>0</v>
      </c>
      <c r="J393" s="49">
        <v>3</v>
      </c>
      <c r="K393" s="49">
        <v>30080</v>
      </c>
      <c r="L393" s="49">
        <v>7060</v>
      </c>
      <c r="M393" s="49">
        <v>0</v>
      </c>
      <c r="N393" s="49">
        <v>23020</v>
      </c>
      <c r="O393" s="49">
        <v>0</v>
      </c>
      <c r="P393" s="49">
        <v>4282</v>
      </c>
      <c r="Q393" s="49">
        <v>0</v>
      </c>
      <c r="R393" s="49">
        <v>18738</v>
      </c>
      <c r="S393" s="49">
        <v>1.72</v>
      </c>
      <c r="T393" s="49">
        <v>32229.360000000001</v>
      </c>
      <c r="U393" s="49"/>
      <c r="V393" s="49"/>
      <c r="W393" s="49"/>
      <c r="X393" s="49" t="s">
        <v>891</v>
      </c>
      <c r="Y393" s="49" t="s">
        <v>892</v>
      </c>
      <c r="Z393" s="49" t="s">
        <v>893</v>
      </c>
      <c r="AA393" s="49" t="s">
        <v>868</v>
      </c>
      <c r="AB393" s="101" t="s">
        <v>894</v>
      </c>
    </row>
    <row r="394" spans="2:28" x14ac:dyDescent="0.15">
      <c r="B394" s="138" t="s">
        <v>588</v>
      </c>
      <c r="C394" s="113">
        <v>43133.606249999997</v>
      </c>
      <c r="D394" s="49" t="s">
        <v>895</v>
      </c>
      <c r="E394" s="49">
        <v>180202009</v>
      </c>
      <c r="F394" s="49">
        <v>28.5</v>
      </c>
      <c r="G394" s="49">
        <v>1.5</v>
      </c>
      <c r="H394" s="49">
        <v>8</v>
      </c>
      <c r="I394" s="49">
        <v>0</v>
      </c>
      <c r="J394" s="49">
        <v>3</v>
      </c>
      <c r="K394" s="49">
        <v>83090</v>
      </c>
      <c r="L394" s="49">
        <v>24010</v>
      </c>
      <c r="M394" s="49">
        <v>295</v>
      </c>
      <c r="N394" s="49">
        <v>59080</v>
      </c>
      <c r="O394" s="49">
        <v>0</v>
      </c>
      <c r="P394" s="49">
        <v>10280</v>
      </c>
      <c r="Q394" s="49">
        <v>0</v>
      </c>
      <c r="R394" s="49">
        <v>48505</v>
      </c>
      <c r="S394" s="49">
        <v>1.72</v>
      </c>
      <c r="T394" s="49">
        <v>83428.600000000006</v>
      </c>
      <c r="U394" s="49"/>
      <c r="V394" s="49"/>
      <c r="W394" s="49"/>
      <c r="X394" s="49" t="s">
        <v>437</v>
      </c>
      <c r="Y394" s="49" t="s">
        <v>438</v>
      </c>
      <c r="Z394" s="49" t="s">
        <v>439</v>
      </c>
      <c r="AA394" s="49" t="s">
        <v>647</v>
      </c>
      <c r="AB394" s="101" t="s">
        <v>681</v>
      </c>
    </row>
    <row r="395" spans="2:28" x14ac:dyDescent="0.15">
      <c r="B395" s="138" t="s">
        <v>588</v>
      </c>
      <c r="C395" s="113">
        <v>43133.636805555558</v>
      </c>
      <c r="D395" s="49" t="s">
        <v>896</v>
      </c>
      <c r="E395" s="49">
        <v>180202010</v>
      </c>
      <c r="F395" s="49">
        <v>29.1</v>
      </c>
      <c r="G395" s="49">
        <v>1.5</v>
      </c>
      <c r="H395" s="49">
        <v>8</v>
      </c>
      <c r="I395" s="49">
        <v>0</v>
      </c>
      <c r="J395" s="49">
        <v>3</v>
      </c>
      <c r="K395" s="49">
        <v>97330</v>
      </c>
      <c r="L395" s="49">
        <v>27130</v>
      </c>
      <c r="M395" s="49">
        <v>351</v>
      </c>
      <c r="N395" s="49">
        <v>70200</v>
      </c>
      <c r="O395" s="49">
        <v>0</v>
      </c>
      <c r="P395" s="49">
        <v>12720</v>
      </c>
      <c r="Q395" s="49">
        <v>0</v>
      </c>
      <c r="R395" s="49">
        <v>57129</v>
      </c>
      <c r="S395" s="49">
        <v>1.72</v>
      </c>
      <c r="T395" s="49">
        <v>98261.88</v>
      </c>
      <c r="U395" s="49"/>
      <c r="V395" s="49"/>
      <c r="W395" s="49"/>
      <c r="X395" s="49" t="s">
        <v>437</v>
      </c>
      <c r="Y395" s="49" t="s">
        <v>438</v>
      </c>
      <c r="Z395" s="49" t="s">
        <v>439</v>
      </c>
      <c r="AA395" s="49" t="s">
        <v>647</v>
      </c>
      <c r="AB395" s="101" t="s">
        <v>681</v>
      </c>
    </row>
    <row r="396" spans="2:28" x14ac:dyDescent="0.15">
      <c r="B396" s="138" t="s">
        <v>588</v>
      </c>
      <c r="C396" s="113">
        <v>43133.640972222223</v>
      </c>
      <c r="D396" s="49" t="s">
        <v>504</v>
      </c>
      <c r="E396" s="49">
        <v>180202017</v>
      </c>
      <c r="F396" s="49">
        <v>26.8</v>
      </c>
      <c r="G396" s="49">
        <v>1</v>
      </c>
      <c r="H396" s="49">
        <v>8</v>
      </c>
      <c r="I396" s="49">
        <v>0</v>
      </c>
      <c r="J396" s="49">
        <v>3</v>
      </c>
      <c r="K396" s="49">
        <v>39110</v>
      </c>
      <c r="L396" s="49">
        <v>9930</v>
      </c>
      <c r="M396" s="49">
        <v>0</v>
      </c>
      <c r="N396" s="49">
        <v>29180</v>
      </c>
      <c r="O396" s="49">
        <v>0</v>
      </c>
      <c r="P396" s="49">
        <v>4482</v>
      </c>
      <c r="Q396" s="49">
        <v>0</v>
      </c>
      <c r="R396" s="49">
        <v>24698</v>
      </c>
      <c r="S396" s="49">
        <v>1.72</v>
      </c>
      <c r="T396" s="49">
        <v>42480.56</v>
      </c>
      <c r="U396" s="49"/>
      <c r="V396" s="49"/>
      <c r="W396" s="49"/>
      <c r="X396" s="49" t="s">
        <v>783</v>
      </c>
      <c r="Y396" s="49" t="s">
        <v>784</v>
      </c>
      <c r="Z396" s="49" t="s">
        <v>714</v>
      </c>
      <c r="AA396" s="49" t="s">
        <v>698</v>
      </c>
      <c r="AB396" s="101" t="s">
        <v>785</v>
      </c>
    </row>
    <row r="397" spans="2:28" x14ac:dyDescent="0.15">
      <c r="B397" s="138" t="s">
        <v>588</v>
      </c>
      <c r="C397" s="113">
        <v>43133.645138888889</v>
      </c>
      <c r="D397" s="49" t="s">
        <v>897</v>
      </c>
      <c r="E397" s="49">
        <v>180202012</v>
      </c>
      <c r="F397" s="49">
        <v>31.3</v>
      </c>
      <c r="G397" s="49">
        <v>1</v>
      </c>
      <c r="H397" s="49">
        <v>9</v>
      </c>
      <c r="I397" s="49">
        <v>0</v>
      </c>
      <c r="J397" s="49">
        <v>4</v>
      </c>
      <c r="K397" s="49">
        <v>21330</v>
      </c>
      <c r="L397" s="49">
        <v>5620</v>
      </c>
      <c r="M397" s="49">
        <v>0</v>
      </c>
      <c r="N397" s="49">
        <v>15710</v>
      </c>
      <c r="O397" s="49">
        <v>0</v>
      </c>
      <c r="P397" s="49">
        <v>3261</v>
      </c>
      <c r="Q397" s="49">
        <v>0</v>
      </c>
      <c r="R397" s="49">
        <v>12449</v>
      </c>
      <c r="S397" s="49">
        <v>1.72</v>
      </c>
      <c r="T397" s="49">
        <v>21412.28</v>
      </c>
      <c r="U397" s="49"/>
      <c r="V397" s="49"/>
      <c r="W397" s="49"/>
      <c r="X397" s="49" t="s">
        <v>761</v>
      </c>
      <c r="Y397" s="49" t="s">
        <v>762</v>
      </c>
      <c r="Z397" s="49" t="s">
        <v>763</v>
      </c>
      <c r="AA397" s="49" t="s">
        <v>643</v>
      </c>
      <c r="AB397" s="101" t="s">
        <v>764</v>
      </c>
    </row>
    <row r="398" spans="2:28" x14ac:dyDescent="0.15">
      <c r="B398" s="138" t="s">
        <v>588</v>
      </c>
      <c r="C398" s="113">
        <v>43133.673611111109</v>
      </c>
      <c r="D398" s="49" t="s">
        <v>898</v>
      </c>
      <c r="E398" s="49">
        <v>180202021</v>
      </c>
      <c r="F398" s="49">
        <v>26.4</v>
      </c>
      <c r="G398" s="49">
        <v>1</v>
      </c>
      <c r="H398" s="49">
        <v>8</v>
      </c>
      <c r="I398" s="49">
        <v>1</v>
      </c>
      <c r="J398" s="49">
        <v>3</v>
      </c>
      <c r="K398" s="49">
        <v>63480</v>
      </c>
      <c r="L398" s="49">
        <v>18020</v>
      </c>
      <c r="M398" s="49">
        <v>0</v>
      </c>
      <c r="N398" s="49">
        <v>45460</v>
      </c>
      <c r="O398" s="49">
        <v>0</v>
      </c>
      <c r="P398" s="49">
        <v>6764</v>
      </c>
      <c r="Q398" s="49">
        <v>0</v>
      </c>
      <c r="R398" s="49">
        <v>38696</v>
      </c>
      <c r="S398" s="49">
        <v>1.72</v>
      </c>
      <c r="T398" s="49">
        <v>66557.119999999995</v>
      </c>
      <c r="U398" s="49"/>
      <c r="V398" s="49"/>
      <c r="W398" s="49"/>
      <c r="X398" s="49" t="s">
        <v>899</v>
      </c>
      <c r="Y398" s="49" t="s">
        <v>900</v>
      </c>
      <c r="Z398" s="49" t="s">
        <v>901</v>
      </c>
      <c r="AA398" s="49" t="s">
        <v>643</v>
      </c>
      <c r="AB398" s="101" t="s">
        <v>902</v>
      </c>
    </row>
    <row r="399" spans="2:28" x14ac:dyDescent="0.15">
      <c r="B399" s="138" t="s">
        <v>588</v>
      </c>
      <c r="C399" s="113">
        <v>43133.693055555559</v>
      </c>
      <c r="D399" s="49" t="s">
        <v>566</v>
      </c>
      <c r="E399" s="49">
        <v>180202020</v>
      </c>
      <c r="F399" s="49">
        <v>30.3</v>
      </c>
      <c r="G399" s="49">
        <v>1</v>
      </c>
      <c r="H399" s="49">
        <v>8</v>
      </c>
      <c r="I399" s="49">
        <v>0</v>
      </c>
      <c r="J399" s="49">
        <v>3</v>
      </c>
      <c r="K399" s="49">
        <v>53000</v>
      </c>
      <c r="L399" s="49">
        <v>11980</v>
      </c>
      <c r="M399" s="49">
        <v>0</v>
      </c>
      <c r="N399" s="49">
        <v>41020</v>
      </c>
      <c r="O399" s="49">
        <v>0</v>
      </c>
      <c r="P399" s="49">
        <v>8024</v>
      </c>
      <c r="Q399" s="49">
        <v>0</v>
      </c>
      <c r="R399" s="49">
        <v>32996</v>
      </c>
      <c r="S399" s="49">
        <v>1.72</v>
      </c>
      <c r="T399" s="49">
        <v>56753.120000000003</v>
      </c>
      <c r="U399" s="49"/>
      <c r="V399" s="49"/>
      <c r="W399" s="49"/>
      <c r="X399" s="49" t="s">
        <v>783</v>
      </c>
      <c r="Y399" s="49" t="s">
        <v>784</v>
      </c>
      <c r="Z399" s="49" t="s">
        <v>714</v>
      </c>
      <c r="AA399" s="49" t="s">
        <v>698</v>
      </c>
      <c r="AB399" s="101" t="s">
        <v>785</v>
      </c>
    </row>
    <row r="400" spans="2:28" x14ac:dyDescent="0.15">
      <c r="B400" s="138" t="s">
        <v>588</v>
      </c>
      <c r="C400" s="113">
        <v>43133.695833333331</v>
      </c>
      <c r="D400" s="49" t="s">
        <v>505</v>
      </c>
      <c r="E400" s="49">
        <v>180202019</v>
      </c>
      <c r="F400" s="49">
        <v>30.5</v>
      </c>
      <c r="G400" s="49">
        <v>1</v>
      </c>
      <c r="H400" s="49">
        <v>8</v>
      </c>
      <c r="I400" s="49">
        <v>0</v>
      </c>
      <c r="J400" s="49">
        <v>3</v>
      </c>
      <c r="K400" s="49">
        <v>54190</v>
      </c>
      <c r="L400" s="49">
        <v>12330</v>
      </c>
      <c r="M400" s="49">
        <v>0</v>
      </c>
      <c r="N400" s="49">
        <v>41860</v>
      </c>
      <c r="O400" s="49">
        <v>0</v>
      </c>
      <c r="P400" s="49">
        <v>8288</v>
      </c>
      <c r="Q400" s="49">
        <v>0</v>
      </c>
      <c r="R400" s="49">
        <v>33572</v>
      </c>
      <c r="S400" s="49">
        <v>1.72</v>
      </c>
      <c r="T400" s="49">
        <v>57743.839999999997</v>
      </c>
      <c r="U400" s="49"/>
      <c r="V400" s="49"/>
      <c r="W400" s="49"/>
      <c r="X400" s="49" t="s">
        <v>783</v>
      </c>
      <c r="Y400" s="49" t="s">
        <v>784</v>
      </c>
      <c r="Z400" s="49" t="s">
        <v>714</v>
      </c>
      <c r="AA400" s="49" t="s">
        <v>698</v>
      </c>
      <c r="AB400" s="101" t="s">
        <v>785</v>
      </c>
    </row>
    <row r="401" spans="2:28" x14ac:dyDescent="0.15">
      <c r="B401" s="138" t="s">
        <v>588</v>
      </c>
      <c r="C401" s="113">
        <v>43133.711805555555</v>
      </c>
      <c r="D401" s="49" t="s">
        <v>202</v>
      </c>
      <c r="E401" s="49">
        <v>180202022</v>
      </c>
      <c r="F401" s="49">
        <v>24.5</v>
      </c>
      <c r="G401" s="49">
        <v>1.5</v>
      </c>
      <c r="H401" s="49">
        <v>7</v>
      </c>
      <c r="I401" s="49">
        <v>0</v>
      </c>
      <c r="J401" s="49">
        <v>2</v>
      </c>
      <c r="K401" s="49">
        <v>81900</v>
      </c>
      <c r="L401" s="49">
        <v>17380</v>
      </c>
      <c r="M401" s="49">
        <v>323</v>
      </c>
      <c r="N401" s="49">
        <v>64520</v>
      </c>
      <c r="O401" s="49">
        <v>0</v>
      </c>
      <c r="P401" s="49">
        <v>8130</v>
      </c>
      <c r="Q401" s="49">
        <v>0</v>
      </c>
      <c r="R401" s="49">
        <v>56067</v>
      </c>
      <c r="S401" s="49">
        <v>1.72</v>
      </c>
      <c r="T401" s="49">
        <v>96435.24</v>
      </c>
      <c r="U401" s="49"/>
      <c r="V401" s="49"/>
      <c r="W401" s="49"/>
      <c r="X401" s="49" t="s">
        <v>469</v>
      </c>
      <c r="Y401" s="49" t="s">
        <v>470</v>
      </c>
      <c r="Z401" s="49" t="s">
        <v>471</v>
      </c>
      <c r="AA401" s="49" t="s">
        <v>643</v>
      </c>
      <c r="AB401" s="101" t="s">
        <v>688</v>
      </c>
    </row>
    <row r="402" spans="2:28" x14ac:dyDescent="0.15">
      <c r="B402" s="138" t="s">
        <v>588</v>
      </c>
      <c r="C402" s="113">
        <v>43133.753472222219</v>
      </c>
      <c r="D402" s="49" t="s">
        <v>399</v>
      </c>
      <c r="E402" s="49">
        <v>180202025</v>
      </c>
      <c r="F402" s="49">
        <v>29.9</v>
      </c>
      <c r="G402" s="49">
        <v>1</v>
      </c>
      <c r="H402" s="49">
        <v>8</v>
      </c>
      <c r="I402" s="49">
        <v>0</v>
      </c>
      <c r="J402" s="49">
        <v>3</v>
      </c>
      <c r="K402" s="49">
        <v>93040</v>
      </c>
      <c r="L402" s="49">
        <v>22870</v>
      </c>
      <c r="M402" s="49">
        <v>0</v>
      </c>
      <c r="N402" s="49">
        <v>70170</v>
      </c>
      <c r="O402" s="49">
        <v>0</v>
      </c>
      <c r="P402" s="49">
        <v>13388</v>
      </c>
      <c r="Q402" s="49">
        <v>0</v>
      </c>
      <c r="R402" s="49">
        <v>56782</v>
      </c>
      <c r="S402" s="49">
        <v>1.72</v>
      </c>
      <c r="T402" s="49">
        <v>97665.04</v>
      </c>
      <c r="U402" s="49"/>
      <c r="V402" s="49"/>
      <c r="W402" s="49"/>
      <c r="X402" s="49" t="s">
        <v>903</v>
      </c>
      <c r="Y402" s="49" t="s">
        <v>904</v>
      </c>
      <c r="Z402" s="49" t="s">
        <v>905</v>
      </c>
      <c r="AA402" s="49" t="s">
        <v>643</v>
      </c>
      <c r="AB402" s="101" t="s">
        <v>906</v>
      </c>
    </row>
    <row r="403" spans="2:28" x14ac:dyDescent="0.15">
      <c r="B403" s="138" t="s">
        <v>588</v>
      </c>
      <c r="C403" s="113">
        <v>43133.758333333331</v>
      </c>
      <c r="D403" s="49" t="s">
        <v>362</v>
      </c>
      <c r="E403" s="49">
        <v>180202027</v>
      </c>
      <c r="F403" s="49">
        <v>25.8</v>
      </c>
      <c r="G403" s="49">
        <v>1</v>
      </c>
      <c r="H403" s="49">
        <v>8</v>
      </c>
      <c r="I403" s="49">
        <v>0</v>
      </c>
      <c r="J403" s="49">
        <v>3</v>
      </c>
      <c r="K403" s="49">
        <v>52920</v>
      </c>
      <c r="L403" s="49">
        <v>11850</v>
      </c>
      <c r="M403" s="49">
        <v>0</v>
      </c>
      <c r="N403" s="49">
        <v>41070</v>
      </c>
      <c r="O403" s="49">
        <v>0</v>
      </c>
      <c r="P403" s="49">
        <v>5816</v>
      </c>
      <c r="Q403" s="49">
        <v>0</v>
      </c>
      <c r="R403" s="49">
        <v>35254</v>
      </c>
      <c r="S403" s="49">
        <v>1.72</v>
      </c>
      <c r="T403" s="49">
        <v>60636.88</v>
      </c>
      <c r="U403" s="49"/>
      <c r="V403" s="49"/>
      <c r="W403" s="49"/>
      <c r="X403" s="49" t="s">
        <v>757</v>
      </c>
      <c r="Y403" s="49" t="s">
        <v>758</v>
      </c>
      <c r="Z403" s="49" t="s">
        <v>361</v>
      </c>
      <c r="AA403" s="49" t="s">
        <v>640</v>
      </c>
      <c r="AB403" s="101" t="s">
        <v>759</v>
      </c>
    </row>
    <row r="404" spans="2:28" x14ac:dyDescent="0.15">
      <c r="B404" s="138" t="s">
        <v>588</v>
      </c>
      <c r="C404" s="113">
        <v>43133.794444444444</v>
      </c>
      <c r="D404" s="49" t="s">
        <v>782</v>
      </c>
      <c r="E404" s="49">
        <v>180202028</v>
      </c>
      <c r="F404" s="49">
        <v>25.7</v>
      </c>
      <c r="G404" s="49">
        <v>1.2</v>
      </c>
      <c r="H404" s="49">
        <v>8</v>
      </c>
      <c r="I404" s="49">
        <v>0</v>
      </c>
      <c r="J404" s="49">
        <v>3</v>
      </c>
      <c r="K404" s="49">
        <v>53090</v>
      </c>
      <c r="L404" s="49">
        <v>12070</v>
      </c>
      <c r="M404" s="49">
        <v>82</v>
      </c>
      <c r="N404" s="49">
        <v>41020</v>
      </c>
      <c r="O404" s="49">
        <v>0</v>
      </c>
      <c r="P404" s="49">
        <v>5759</v>
      </c>
      <c r="Q404" s="49">
        <v>0</v>
      </c>
      <c r="R404" s="49">
        <v>35179</v>
      </c>
      <c r="S404" s="49">
        <v>1.72</v>
      </c>
      <c r="T404" s="49">
        <v>60507.88</v>
      </c>
      <c r="U404" s="49"/>
      <c r="V404" s="49"/>
      <c r="W404" s="49"/>
      <c r="X404" s="49" t="s">
        <v>757</v>
      </c>
      <c r="Y404" s="49" t="s">
        <v>758</v>
      </c>
      <c r="Z404" s="49" t="s">
        <v>361</v>
      </c>
      <c r="AA404" s="49" t="s">
        <v>640</v>
      </c>
      <c r="AB404" s="101" t="s">
        <v>759</v>
      </c>
    </row>
    <row r="405" spans="2:28" x14ac:dyDescent="0.15">
      <c r="C405" s="113"/>
      <c r="D405" s="49"/>
      <c r="E405" s="49"/>
      <c r="F405" s="49"/>
      <c r="G405" s="49"/>
      <c r="H405" s="49"/>
      <c r="I405" s="49"/>
      <c r="J405" s="49"/>
      <c r="K405" s="49"/>
      <c r="L405" s="49"/>
      <c r="M405" s="49"/>
      <c r="N405" s="49"/>
      <c r="O405" s="49"/>
      <c r="P405" s="49"/>
      <c r="Q405" s="49"/>
      <c r="R405" s="49"/>
      <c r="S405" s="49"/>
      <c r="T405" s="49"/>
      <c r="U405" s="49"/>
      <c r="V405" s="49"/>
      <c r="W405" s="49"/>
      <c r="X405" s="49"/>
      <c r="Y405" s="49"/>
      <c r="Z405" s="49"/>
      <c r="AA405" s="49"/>
      <c r="AB405" s="101"/>
    </row>
    <row r="406" spans="2:28" x14ac:dyDescent="0.15">
      <c r="B406" s="138" t="s">
        <v>588</v>
      </c>
      <c r="C406" s="113">
        <v>43134.386111111111</v>
      </c>
      <c r="D406" s="49" t="s">
        <v>492</v>
      </c>
      <c r="E406" s="49">
        <v>180203001</v>
      </c>
      <c r="F406" s="49">
        <v>26.9</v>
      </c>
      <c r="G406" s="49">
        <v>1</v>
      </c>
      <c r="H406" s="49">
        <v>8</v>
      </c>
      <c r="I406" s="49">
        <v>0</v>
      </c>
      <c r="J406" s="49">
        <v>4</v>
      </c>
      <c r="K406" s="49">
        <v>28260</v>
      </c>
      <c r="L406" s="49">
        <v>9080</v>
      </c>
      <c r="M406" s="49">
        <v>0</v>
      </c>
      <c r="N406" s="49">
        <v>19180</v>
      </c>
      <c r="O406" s="49">
        <v>0</v>
      </c>
      <c r="P406" s="49">
        <v>2969</v>
      </c>
      <c r="Q406" s="49">
        <v>0</v>
      </c>
      <c r="R406" s="49">
        <v>16211</v>
      </c>
      <c r="S406" s="49">
        <v>1.71</v>
      </c>
      <c r="T406" s="49">
        <v>27720.809999999998</v>
      </c>
      <c r="U406" s="49"/>
      <c r="V406" s="49"/>
      <c r="W406" s="49"/>
      <c r="X406" s="49" t="s">
        <v>490</v>
      </c>
      <c r="Y406" s="49" t="s">
        <v>491</v>
      </c>
      <c r="Z406" s="49" t="s">
        <v>480</v>
      </c>
      <c r="AA406" s="49" t="s">
        <v>643</v>
      </c>
      <c r="AB406" s="101" t="s">
        <v>695</v>
      </c>
    </row>
    <row r="407" spans="2:28" x14ac:dyDescent="0.15">
      <c r="B407" s="138" t="s">
        <v>588</v>
      </c>
      <c r="C407" s="113">
        <v>43134.397916666669</v>
      </c>
      <c r="D407" s="49" t="s">
        <v>166</v>
      </c>
      <c r="E407" s="49">
        <v>180203005</v>
      </c>
      <c r="F407" s="49">
        <v>30.6</v>
      </c>
      <c r="G407" s="49">
        <v>1</v>
      </c>
      <c r="H407" s="49">
        <v>9</v>
      </c>
      <c r="I407" s="49">
        <v>0</v>
      </c>
      <c r="J407" s="49">
        <v>4</v>
      </c>
      <c r="K407" s="49">
        <v>33320</v>
      </c>
      <c r="L407" s="49">
        <v>10290</v>
      </c>
      <c r="M407" s="49">
        <v>0</v>
      </c>
      <c r="N407" s="49">
        <v>23030</v>
      </c>
      <c r="O407" s="49">
        <v>0</v>
      </c>
      <c r="P407" s="49">
        <v>4588</v>
      </c>
      <c r="Q407" s="49">
        <v>0</v>
      </c>
      <c r="R407" s="49">
        <v>18442</v>
      </c>
      <c r="S407" s="49">
        <v>1.71</v>
      </c>
      <c r="T407" s="49">
        <v>31535.82</v>
      </c>
      <c r="U407" s="49"/>
      <c r="V407" s="49"/>
      <c r="W407" s="49"/>
      <c r="X407" s="49" t="s">
        <v>155</v>
      </c>
      <c r="Y407" s="49" t="s">
        <v>156</v>
      </c>
      <c r="Z407" s="49" t="s">
        <v>157</v>
      </c>
      <c r="AA407" s="49" t="s">
        <v>643</v>
      </c>
      <c r="AB407" s="101" t="s">
        <v>608</v>
      </c>
    </row>
    <row r="408" spans="2:28" x14ac:dyDescent="0.15">
      <c r="B408" s="138" t="s">
        <v>588</v>
      </c>
      <c r="C408" s="113">
        <v>43134.402777777781</v>
      </c>
      <c r="D408" s="49" t="s">
        <v>481</v>
      </c>
      <c r="E408" s="49">
        <v>180203002</v>
      </c>
      <c r="F408" s="49">
        <v>25.4</v>
      </c>
      <c r="G408" s="49">
        <v>1</v>
      </c>
      <c r="H408" s="49">
        <v>8</v>
      </c>
      <c r="I408" s="49">
        <v>0</v>
      </c>
      <c r="J408" s="49">
        <v>3</v>
      </c>
      <c r="K408" s="49">
        <v>22810</v>
      </c>
      <c r="L408" s="49">
        <v>7110</v>
      </c>
      <c r="M408" s="49">
        <v>0</v>
      </c>
      <c r="N408" s="49">
        <v>15700</v>
      </c>
      <c r="O408" s="49">
        <v>0</v>
      </c>
      <c r="P408" s="49">
        <v>2148</v>
      </c>
      <c r="Q408" s="49">
        <v>0</v>
      </c>
      <c r="R408" s="49">
        <v>13552</v>
      </c>
      <c r="S408" s="49">
        <v>1.71</v>
      </c>
      <c r="T408" s="49">
        <v>23173.919999999998</v>
      </c>
      <c r="U408" s="49"/>
      <c r="V408" s="49"/>
      <c r="W408" s="49"/>
      <c r="X408" s="49" t="s">
        <v>478</v>
      </c>
      <c r="Y408" s="49" t="s">
        <v>479</v>
      </c>
      <c r="Z408" s="49" t="s">
        <v>480</v>
      </c>
      <c r="AA408" s="49" t="s">
        <v>643</v>
      </c>
      <c r="AB408" s="101" t="s">
        <v>693</v>
      </c>
    </row>
    <row r="409" spans="2:28" x14ac:dyDescent="0.15">
      <c r="B409" s="138" t="s">
        <v>588</v>
      </c>
      <c r="C409" s="113">
        <v>43134.434027777781</v>
      </c>
      <c r="D409" s="49" t="s">
        <v>154</v>
      </c>
      <c r="E409" s="49">
        <v>180203008</v>
      </c>
      <c r="F409" s="49">
        <v>28.9</v>
      </c>
      <c r="G409" s="49">
        <v>1</v>
      </c>
      <c r="H409" s="49">
        <v>10</v>
      </c>
      <c r="I409" s="49">
        <v>3</v>
      </c>
      <c r="J409" s="49">
        <v>5</v>
      </c>
      <c r="K409" s="49">
        <v>34390</v>
      </c>
      <c r="L409" s="49">
        <v>10300</v>
      </c>
      <c r="M409" s="49">
        <v>0</v>
      </c>
      <c r="N409" s="49">
        <v>24090</v>
      </c>
      <c r="O409" s="49">
        <v>0</v>
      </c>
      <c r="P409" s="49">
        <v>4307</v>
      </c>
      <c r="Q409" s="49">
        <v>0</v>
      </c>
      <c r="R409" s="49">
        <v>19783</v>
      </c>
      <c r="S409" s="49">
        <v>1.71</v>
      </c>
      <c r="T409" s="49">
        <v>33828.93</v>
      </c>
      <c r="U409" s="49"/>
      <c r="V409" s="49"/>
      <c r="W409" s="49"/>
      <c r="X409" s="49" t="s">
        <v>155</v>
      </c>
      <c r="Y409" s="49" t="s">
        <v>156</v>
      </c>
      <c r="Z409" s="49" t="s">
        <v>157</v>
      </c>
      <c r="AA409" s="49" t="s">
        <v>643</v>
      </c>
      <c r="AB409" s="101" t="s">
        <v>608</v>
      </c>
    </row>
    <row r="410" spans="2:28" x14ac:dyDescent="0.15">
      <c r="B410" s="138" t="s">
        <v>588</v>
      </c>
      <c r="C410" s="113">
        <v>43134.464583333334</v>
      </c>
      <c r="D410" s="49" t="s">
        <v>907</v>
      </c>
      <c r="E410" s="49">
        <v>180203003</v>
      </c>
      <c r="F410" s="49">
        <v>27</v>
      </c>
      <c r="G410" s="49">
        <v>1</v>
      </c>
      <c r="H410" s="49">
        <v>9</v>
      </c>
      <c r="I410" s="49">
        <v>0</v>
      </c>
      <c r="J410" s="49">
        <v>4</v>
      </c>
      <c r="K410" s="49">
        <v>83340</v>
      </c>
      <c r="L410" s="49">
        <v>17900</v>
      </c>
      <c r="M410" s="49">
        <v>0</v>
      </c>
      <c r="N410" s="49">
        <v>65440</v>
      </c>
      <c r="O410" s="49">
        <v>0</v>
      </c>
      <c r="P410" s="49">
        <v>10209</v>
      </c>
      <c r="Q410" s="49">
        <v>0</v>
      </c>
      <c r="R410" s="49">
        <v>55231</v>
      </c>
      <c r="S410" s="49">
        <v>1.71</v>
      </c>
      <c r="T410" s="49">
        <v>94445.01</v>
      </c>
      <c r="U410" s="49"/>
      <c r="V410" s="49"/>
      <c r="W410" s="49"/>
      <c r="X410" s="49" t="s">
        <v>469</v>
      </c>
      <c r="Y410" s="49" t="s">
        <v>470</v>
      </c>
      <c r="Z410" s="49" t="s">
        <v>471</v>
      </c>
      <c r="AA410" s="49" t="s">
        <v>643</v>
      </c>
      <c r="AB410" s="101" t="s">
        <v>688</v>
      </c>
    </row>
    <row r="411" spans="2:28" x14ac:dyDescent="0.15">
      <c r="B411" s="138" t="s">
        <v>588</v>
      </c>
      <c r="C411" s="113">
        <v>43134.479861111111</v>
      </c>
      <c r="D411" s="49" t="s">
        <v>576</v>
      </c>
      <c r="E411" s="49">
        <v>180203004</v>
      </c>
      <c r="F411" s="49">
        <v>28.9</v>
      </c>
      <c r="G411" s="49">
        <v>1</v>
      </c>
      <c r="H411" s="49">
        <v>8</v>
      </c>
      <c r="I411" s="49">
        <v>0</v>
      </c>
      <c r="J411" s="49">
        <v>3</v>
      </c>
      <c r="K411" s="49">
        <v>79360</v>
      </c>
      <c r="L411" s="49">
        <v>18080</v>
      </c>
      <c r="M411" s="49">
        <v>0</v>
      </c>
      <c r="N411" s="49">
        <v>61280</v>
      </c>
      <c r="O411" s="49">
        <v>0</v>
      </c>
      <c r="P411" s="49">
        <v>10957</v>
      </c>
      <c r="Q411" s="49">
        <v>0</v>
      </c>
      <c r="R411" s="49">
        <v>50323</v>
      </c>
      <c r="S411" s="49">
        <v>1.71</v>
      </c>
      <c r="T411" s="49">
        <v>86052.33</v>
      </c>
      <c r="U411" s="49"/>
      <c r="V411" s="49"/>
      <c r="W411" s="49"/>
      <c r="X411" s="49" t="s">
        <v>572</v>
      </c>
      <c r="Y411" s="49" t="s">
        <v>573</v>
      </c>
      <c r="Z411" s="49" t="s">
        <v>574</v>
      </c>
      <c r="AA411" s="49" t="s">
        <v>643</v>
      </c>
      <c r="AB411" s="101" t="s">
        <v>711</v>
      </c>
    </row>
    <row r="412" spans="2:28" x14ac:dyDescent="0.15">
      <c r="B412" s="138" t="s">
        <v>588</v>
      </c>
      <c r="C412" s="113">
        <v>43134.486111111109</v>
      </c>
      <c r="D412" s="49" t="s">
        <v>870</v>
      </c>
      <c r="E412" s="49">
        <v>180203007</v>
      </c>
      <c r="F412" s="49">
        <v>27.8</v>
      </c>
      <c r="G412" s="49">
        <v>1.2</v>
      </c>
      <c r="H412" s="49">
        <v>9</v>
      </c>
      <c r="I412" s="49">
        <v>0</v>
      </c>
      <c r="J412" s="49">
        <v>4</v>
      </c>
      <c r="K412" s="49">
        <v>94480</v>
      </c>
      <c r="L412" s="49">
        <v>22330</v>
      </c>
      <c r="M412" s="49">
        <v>144</v>
      </c>
      <c r="N412" s="49">
        <v>72150</v>
      </c>
      <c r="O412" s="49">
        <v>0</v>
      </c>
      <c r="P412" s="49">
        <v>11948</v>
      </c>
      <c r="Q412" s="49">
        <v>0</v>
      </c>
      <c r="R412" s="49">
        <v>60058</v>
      </c>
      <c r="S412" s="49">
        <v>1.71</v>
      </c>
      <c r="T412" s="49">
        <v>102699.18</v>
      </c>
      <c r="U412" s="49"/>
      <c r="V412" s="49"/>
      <c r="W412" s="49"/>
      <c r="X412" s="49" t="s">
        <v>572</v>
      </c>
      <c r="Y412" s="49" t="s">
        <v>573</v>
      </c>
      <c r="Z412" s="49" t="s">
        <v>574</v>
      </c>
      <c r="AA412" s="49" t="s">
        <v>643</v>
      </c>
      <c r="AB412" s="101" t="s">
        <v>711</v>
      </c>
    </row>
    <row r="413" spans="2:28" x14ac:dyDescent="0.15">
      <c r="B413" s="138" t="s">
        <v>588</v>
      </c>
      <c r="C413" s="113">
        <v>43134.527777777781</v>
      </c>
      <c r="D413" s="49" t="s">
        <v>908</v>
      </c>
      <c r="E413" s="49">
        <v>180203009</v>
      </c>
      <c r="F413" s="49">
        <v>30.9</v>
      </c>
      <c r="G413" s="49">
        <v>1</v>
      </c>
      <c r="H413" s="49">
        <v>9</v>
      </c>
      <c r="I413" s="49">
        <v>2</v>
      </c>
      <c r="J413" s="49">
        <v>4</v>
      </c>
      <c r="K413" s="49">
        <v>49880</v>
      </c>
      <c r="L413" s="49">
        <v>14830</v>
      </c>
      <c r="M413" s="49">
        <v>0</v>
      </c>
      <c r="N413" s="49">
        <v>35050</v>
      </c>
      <c r="O413" s="49">
        <v>0</v>
      </c>
      <c r="P413" s="49">
        <v>7108</v>
      </c>
      <c r="Q413" s="49">
        <v>0</v>
      </c>
      <c r="R413" s="49">
        <v>27942</v>
      </c>
      <c r="S413" s="49">
        <v>1.71</v>
      </c>
      <c r="T413" s="49">
        <v>47780.82</v>
      </c>
      <c r="U413" s="49"/>
      <c r="V413" s="49"/>
      <c r="W413" s="49"/>
      <c r="X413" s="49" t="s">
        <v>909</v>
      </c>
      <c r="Y413" s="49" t="s">
        <v>910</v>
      </c>
      <c r="Z413" s="49" t="s">
        <v>911</v>
      </c>
      <c r="AA413" s="49" t="s">
        <v>643</v>
      </c>
      <c r="AB413" s="101" t="s">
        <v>912</v>
      </c>
    </row>
    <row r="414" spans="2:28" x14ac:dyDescent="0.15">
      <c r="B414" s="138" t="s">
        <v>588</v>
      </c>
      <c r="C414" s="113">
        <v>43134.534722222219</v>
      </c>
      <c r="D414" s="49" t="s">
        <v>575</v>
      </c>
      <c r="E414" s="49">
        <v>180203011</v>
      </c>
      <c r="F414" s="49">
        <v>28.2</v>
      </c>
      <c r="G414" s="49">
        <v>1</v>
      </c>
      <c r="H414" s="49">
        <v>8</v>
      </c>
      <c r="I414" s="49">
        <v>1</v>
      </c>
      <c r="J414" s="49">
        <v>3</v>
      </c>
      <c r="K414" s="49">
        <v>87350</v>
      </c>
      <c r="L414" s="49">
        <v>21060</v>
      </c>
      <c r="M414" s="49">
        <v>0</v>
      </c>
      <c r="N414" s="49">
        <v>66290</v>
      </c>
      <c r="O414" s="49">
        <v>0</v>
      </c>
      <c r="P414" s="49">
        <v>11296</v>
      </c>
      <c r="Q414" s="49">
        <v>0</v>
      </c>
      <c r="R414" s="49">
        <v>54994</v>
      </c>
      <c r="S414" s="49">
        <v>1.71</v>
      </c>
      <c r="T414" s="49">
        <v>94039.74</v>
      </c>
      <c r="U414" s="49"/>
      <c r="V414" s="49"/>
      <c r="W414" s="49"/>
      <c r="X414" s="49" t="s">
        <v>572</v>
      </c>
      <c r="Y414" s="49" t="s">
        <v>573</v>
      </c>
      <c r="Z414" s="49" t="s">
        <v>574</v>
      </c>
      <c r="AA414" s="49" t="s">
        <v>643</v>
      </c>
      <c r="AB414" s="101" t="s">
        <v>711</v>
      </c>
    </row>
    <row r="415" spans="2:28" x14ac:dyDescent="0.15">
      <c r="B415" s="138" t="s">
        <v>588</v>
      </c>
      <c r="C415" s="113">
        <v>43134.542361111111</v>
      </c>
      <c r="D415" s="49" t="s">
        <v>336</v>
      </c>
      <c r="E415" s="49">
        <v>180203010</v>
      </c>
      <c r="F415" s="49">
        <v>27.1</v>
      </c>
      <c r="G415" s="49">
        <v>1</v>
      </c>
      <c r="H415" s="49">
        <v>8</v>
      </c>
      <c r="I415" s="49">
        <v>1</v>
      </c>
      <c r="J415" s="49">
        <v>3</v>
      </c>
      <c r="K415" s="49">
        <v>52250</v>
      </c>
      <c r="L415" s="49">
        <v>12610</v>
      </c>
      <c r="M415" s="49">
        <v>0</v>
      </c>
      <c r="N415" s="49">
        <v>39640</v>
      </c>
      <c r="O415" s="49">
        <v>0</v>
      </c>
      <c r="P415" s="49">
        <v>6231</v>
      </c>
      <c r="Q415" s="49">
        <v>0</v>
      </c>
      <c r="R415" s="49">
        <v>33409</v>
      </c>
      <c r="S415" s="49">
        <v>1.71</v>
      </c>
      <c r="T415" s="49">
        <v>57129.39</v>
      </c>
      <c r="U415" s="49"/>
      <c r="V415" s="49"/>
      <c r="W415" s="49"/>
      <c r="X415" s="49" t="s">
        <v>913</v>
      </c>
      <c r="Y415" s="49" t="s">
        <v>914</v>
      </c>
      <c r="Z415" s="49" t="s">
        <v>915</v>
      </c>
      <c r="AA415" s="49" t="s">
        <v>643</v>
      </c>
      <c r="AB415" s="101" t="s">
        <v>916</v>
      </c>
    </row>
    <row r="416" spans="2:28" x14ac:dyDescent="0.15">
      <c r="B416" s="138" t="s">
        <v>588</v>
      </c>
      <c r="C416" s="113">
        <v>43134.552083333336</v>
      </c>
      <c r="D416" s="49" t="s">
        <v>917</v>
      </c>
      <c r="E416" s="49">
        <v>180203017</v>
      </c>
      <c r="F416" s="49">
        <v>32.299999999999997</v>
      </c>
      <c r="G416" s="49">
        <v>1</v>
      </c>
      <c r="H416" s="49">
        <v>9</v>
      </c>
      <c r="I416" s="49">
        <v>2</v>
      </c>
      <c r="J416" s="49">
        <v>4</v>
      </c>
      <c r="K416" s="49">
        <v>27390</v>
      </c>
      <c r="L416" s="49">
        <v>6470</v>
      </c>
      <c r="M416" s="49">
        <v>0</v>
      </c>
      <c r="N416" s="49">
        <v>20920</v>
      </c>
      <c r="O416" s="49">
        <v>0</v>
      </c>
      <c r="P416" s="49">
        <v>4594</v>
      </c>
      <c r="Q416" s="49">
        <v>0</v>
      </c>
      <c r="R416" s="49">
        <v>16326</v>
      </c>
      <c r="S416" s="49">
        <v>1.71</v>
      </c>
      <c r="T416" s="49">
        <v>27917.46</v>
      </c>
      <c r="U416" s="49"/>
      <c r="V416" s="49"/>
      <c r="W416" s="49"/>
      <c r="X416" s="49" t="s">
        <v>918</v>
      </c>
      <c r="Y416" s="49" t="s">
        <v>919</v>
      </c>
      <c r="Z416" s="49" t="s">
        <v>867</v>
      </c>
      <c r="AA416" s="49" t="s">
        <v>868</v>
      </c>
      <c r="AB416" s="101" t="s">
        <v>920</v>
      </c>
    </row>
    <row r="417" spans="2:28" x14ac:dyDescent="0.15">
      <c r="B417" s="138" t="s">
        <v>588</v>
      </c>
      <c r="C417" s="113">
        <v>43134.569444444445</v>
      </c>
      <c r="D417" s="49" t="s">
        <v>411</v>
      </c>
      <c r="E417" s="49">
        <v>180203014</v>
      </c>
      <c r="F417" s="49">
        <v>25.7</v>
      </c>
      <c r="G417" s="49">
        <v>1.5</v>
      </c>
      <c r="H417" s="49">
        <v>8</v>
      </c>
      <c r="I417" s="49">
        <v>0</v>
      </c>
      <c r="J417" s="49">
        <v>3</v>
      </c>
      <c r="K417" s="49">
        <v>93570</v>
      </c>
      <c r="L417" s="49">
        <v>21210</v>
      </c>
      <c r="M417" s="49">
        <v>362</v>
      </c>
      <c r="N417" s="49">
        <v>72360</v>
      </c>
      <c r="O417" s="49">
        <v>0</v>
      </c>
      <c r="P417" s="49">
        <v>10159</v>
      </c>
      <c r="Q417" s="49">
        <v>0</v>
      </c>
      <c r="R417" s="49">
        <v>61839</v>
      </c>
      <c r="S417" s="49">
        <v>1.71</v>
      </c>
      <c r="T417" s="49">
        <v>105744.69</v>
      </c>
      <c r="U417" s="49"/>
      <c r="V417" s="49"/>
      <c r="W417" s="49"/>
      <c r="X417" s="49" t="s">
        <v>547</v>
      </c>
      <c r="Y417" s="49" t="s">
        <v>548</v>
      </c>
      <c r="Z417" s="49" t="s">
        <v>533</v>
      </c>
      <c r="AA417" s="49" t="s">
        <v>643</v>
      </c>
      <c r="AB417" s="101" t="s">
        <v>705</v>
      </c>
    </row>
    <row r="418" spans="2:28" x14ac:dyDescent="0.15">
      <c r="B418" s="138" t="s">
        <v>588</v>
      </c>
      <c r="C418" s="113">
        <v>43134.595138888886</v>
      </c>
      <c r="D418" s="49" t="s">
        <v>850</v>
      </c>
      <c r="E418" s="49">
        <v>180203021</v>
      </c>
      <c r="F418" s="49">
        <v>28.2</v>
      </c>
      <c r="G418" s="49">
        <v>1</v>
      </c>
      <c r="H418" s="49">
        <v>8</v>
      </c>
      <c r="I418" s="49">
        <v>0</v>
      </c>
      <c r="J418" s="49">
        <v>3</v>
      </c>
      <c r="K418" s="49">
        <v>70240</v>
      </c>
      <c r="L418" s="49">
        <v>21630</v>
      </c>
      <c r="M418" s="49">
        <v>0</v>
      </c>
      <c r="N418" s="49">
        <v>48610</v>
      </c>
      <c r="O418" s="49">
        <v>0</v>
      </c>
      <c r="P418" s="49">
        <v>8283</v>
      </c>
      <c r="Q418" s="49">
        <v>0</v>
      </c>
      <c r="R418" s="49">
        <v>40327</v>
      </c>
      <c r="S418" s="49">
        <v>1.71</v>
      </c>
      <c r="T418" s="49">
        <v>68959.17</v>
      </c>
      <c r="U418" s="49"/>
      <c r="V418" s="49"/>
      <c r="W418" s="49"/>
      <c r="X418" s="49" t="s">
        <v>851</v>
      </c>
      <c r="Y418" s="49" t="s">
        <v>852</v>
      </c>
      <c r="Z418" s="49" t="s">
        <v>768</v>
      </c>
      <c r="AA418" s="49" t="s">
        <v>643</v>
      </c>
      <c r="AB418" s="101" t="s">
        <v>853</v>
      </c>
    </row>
    <row r="419" spans="2:28" x14ac:dyDescent="0.15">
      <c r="B419" s="138" t="s">
        <v>588</v>
      </c>
      <c r="C419" s="113">
        <v>43134.609027777777</v>
      </c>
      <c r="D419" s="49" t="s">
        <v>921</v>
      </c>
      <c r="E419" s="49">
        <v>180203020</v>
      </c>
      <c r="F419" s="49">
        <v>29.7</v>
      </c>
      <c r="G419" s="49">
        <v>1</v>
      </c>
      <c r="H419" s="49">
        <v>8</v>
      </c>
      <c r="I419" s="49">
        <v>0</v>
      </c>
      <c r="J419" s="49">
        <v>3</v>
      </c>
      <c r="K419" s="49">
        <v>26750</v>
      </c>
      <c r="L419" s="49">
        <v>6950</v>
      </c>
      <c r="M419" s="49">
        <v>0</v>
      </c>
      <c r="N419" s="49">
        <v>19800</v>
      </c>
      <c r="O419" s="49">
        <v>0</v>
      </c>
      <c r="P419" s="49">
        <v>3730</v>
      </c>
      <c r="Q419" s="49">
        <v>0</v>
      </c>
      <c r="R419" s="49">
        <v>16070</v>
      </c>
      <c r="S419" s="49">
        <v>1.71</v>
      </c>
      <c r="T419" s="49">
        <v>27479.7</v>
      </c>
      <c r="U419" s="49"/>
      <c r="V419" s="49"/>
      <c r="W419" s="49"/>
      <c r="X419" s="49" t="s">
        <v>922</v>
      </c>
      <c r="Y419" s="49" t="s">
        <v>923</v>
      </c>
      <c r="Z419" s="49" t="s">
        <v>924</v>
      </c>
      <c r="AA419" s="49" t="s">
        <v>868</v>
      </c>
      <c r="AB419" s="101" t="s">
        <v>925</v>
      </c>
    </row>
    <row r="420" spans="2:28" x14ac:dyDescent="0.15">
      <c r="B420" s="138" t="s">
        <v>588</v>
      </c>
      <c r="C420" s="113">
        <v>43134.654861111114</v>
      </c>
      <c r="D420" s="49" t="s">
        <v>926</v>
      </c>
      <c r="E420" s="49">
        <v>180203023</v>
      </c>
      <c r="F420" s="49">
        <v>27.6</v>
      </c>
      <c r="G420" s="49">
        <v>1</v>
      </c>
      <c r="H420" s="49">
        <v>8</v>
      </c>
      <c r="I420" s="49">
        <v>0</v>
      </c>
      <c r="J420" s="49">
        <v>3</v>
      </c>
      <c r="K420" s="49">
        <v>95420</v>
      </c>
      <c r="L420" s="49">
        <v>17870</v>
      </c>
      <c r="M420" s="49">
        <v>0</v>
      </c>
      <c r="N420" s="49">
        <v>77550</v>
      </c>
      <c r="O420" s="49">
        <v>0</v>
      </c>
      <c r="P420" s="49">
        <v>12656</v>
      </c>
      <c r="Q420" s="49">
        <v>0</v>
      </c>
      <c r="R420" s="49">
        <v>64894</v>
      </c>
      <c r="S420" s="49">
        <v>1.71</v>
      </c>
      <c r="T420" s="49">
        <v>110968.73999999999</v>
      </c>
      <c r="U420" s="49"/>
      <c r="V420" s="49"/>
      <c r="W420" s="49"/>
      <c r="X420" s="49" t="s">
        <v>469</v>
      </c>
      <c r="Y420" s="49" t="s">
        <v>470</v>
      </c>
      <c r="Z420" s="49" t="s">
        <v>471</v>
      </c>
      <c r="AA420" s="49" t="s">
        <v>643</v>
      </c>
      <c r="AB420" s="101" t="s">
        <v>688</v>
      </c>
    </row>
    <row r="421" spans="2:28" x14ac:dyDescent="0.15">
      <c r="B421" s="138" t="s">
        <v>588</v>
      </c>
      <c r="C421" s="113">
        <v>43134.663888888892</v>
      </c>
      <c r="D421" s="49" t="s">
        <v>897</v>
      </c>
      <c r="E421" s="49">
        <v>180203030</v>
      </c>
      <c r="F421" s="49">
        <v>29.1</v>
      </c>
      <c r="G421" s="49">
        <v>1</v>
      </c>
      <c r="H421" s="49">
        <v>9</v>
      </c>
      <c r="I421" s="49">
        <v>0</v>
      </c>
      <c r="J421" s="49">
        <v>4</v>
      </c>
      <c r="K421" s="49">
        <v>21940</v>
      </c>
      <c r="L421" s="49">
        <v>5710</v>
      </c>
      <c r="M421" s="49">
        <v>0</v>
      </c>
      <c r="N421" s="49">
        <v>16230</v>
      </c>
      <c r="O421" s="49">
        <v>0</v>
      </c>
      <c r="P421" s="49">
        <v>2941</v>
      </c>
      <c r="Q421" s="49">
        <v>0</v>
      </c>
      <c r="R421" s="49">
        <v>13289</v>
      </c>
      <c r="S421" s="49">
        <v>1.71</v>
      </c>
      <c r="T421" s="49">
        <v>22724.19</v>
      </c>
      <c r="U421" s="49"/>
      <c r="V421" s="49"/>
      <c r="W421" s="49"/>
      <c r="X421" s="49" t="s">
        <v>761</v>
      </c>
      <c r="Y421" s="49" t="s">
        <v>762</v>
      </c>
      <c r="Z421" s="49" t="s">
        <v>763</v>
      </c>
      <c r="AA421" s="49" t="s">
        <v>643</v>
      </c>
      <c r="AB421" s="101" t="s">
        <v>764</v>
      </c>
    </row>
    <row r="422" spans="2:28" x14ac:dyDescent="0.15">
      <c r="B422" s="138" t="s">
        <v>588</v>
      </c>
      <c r="C422" s="113">
        <v>43134.680555555555</v>
      </c>
      <c r="D422" s="49" t="s">
        <v>358</v>
      </c>
      <c r="E422" s="49">
        <v>180203022</v>
      </c>
      <c r="F422" s="49">
        <v>25</v>
      </c>
      <c r="G422" s="49">
        <v>1</v>
      </c>
      <c r="H422" s="49">
        <v>8</v>
      </c>
      <c r="I422" s="49">
        <v>0</v>
      </c>
      <c r="J422" s="49">
        <v>3</v>
      </c>
      <c r="K422" s="49">
        <v>73690</v>
      </c>
      <c r="L422" s="49">
        <v>17000</v>
      </c>
      <c r="M422" s="49">
        <v>0</v>
      </c>
      <c r="N422" s="49">
        <v>56690</v>
      </c>
      <c r="O422" s="49">
        <v>0</v>
      </c>
      <c r="P422" s="49">
        <v>7483</v>
      </c>
      <c r="Q422" s="49">
        <v>0</v>
      </c>
      <c r="R422" s="49">
        <v>49207</v>
      </c>
      <c r="S422" s="49">
        <v>1.71</v>
      </c>
      <c r="T422" s="49">
        <v>84143.97</v>
      </c>
      <c r="U422" s="49"/>
      <c r="V422" s="49"/>
      <c r="W422" s="49"/>
      <c r="X422" s="49" t="s">
        <v>851</v>
      </c>
      <c r="Y422" s="49" t="s">
        <v>852</v>
      </c>
      <c r="Z422" s="49" t="s">
        <v>768</v>
      </c>
      <c r="AA422" s="49" t="s">
        <v>643</v>
      </c>
      <c r="AB422" s="101" t="s">
        <v>853</v>
      </c>
    </row>
    <row r="423" spans="2:28" x14ac:dyDescent="0.15">
      <c r="B423" s="138" t="s">
        <v>588</v>
      </c>
      <c r="C423" s="113">
        <v>43134.68472222222</v>
      </c>
      <c r="D423" s="49" t="s">
        <v>927</v>
      </c>
      <c r="E423" s="49">
        <v>180203024</v>
      </c>
      <c r="F423" s="49">
        <v>25.1</v>
      </c>
      <c r="G423" s="49">
        <v>1.2</v>
      </c>
      <c r="H423" s="49">
        <v>8</v>
      </c>
      <c r="I423" s="49">
        <v>0</v>
      </c>
      <c r="J423" s="49">
        <v>3</v>
      </c>
      <c r="K423" s="49">
        <v>93080</v>
      </c>
      <c r="L423" s="49">
        <v>20910</v>
      </c>
      <c r="M423" s="49">
        <v>144</v>
      </c>
      <c r="N423" s="49">
        <v>72170</v>
      </c>
      <c r="O423" s="49">
        <v>0</v>
      </c>
      <c r="P423" s="49">
        <v>9613</v>
      </c>
      <c r="Q423" s="49">
        <v>0</v>
      </c>
      <c r="R423" s="49">
        <v>62413</v>
      </c>
      <c r="S423" s="49">
        <v>1.71</v>
      </c>
      <c r="T423" s="49">
        <v>106726.23</v>
      </c>
      <c r="U423" s="49"/>
      <c r="V423" s="49"/>
      <c r="W423" s="49"/>
      <c r="X423" s="49" t="s">
        <v>547</v>
      </c>
      <c r="Y423" s="49" t="s">
        <v>548</v>
      </c>
      <c r="Z423" s="49" t="s">
        <v>533</v>
      </c>
      <c r="AA423" s="49" t="s">
        <v>643</v>
      </c>
      <c r="AB423" s="101" t="s">
        <v>705</v>
      </c>
    </row>
    <row r="424" spans="2:28" x14ac:dyDescent="0.15">
      <c r="B424" s="138" t="s">
        <v>588</v>
      </c>
      <c r="C424" s="113">
        <v>43134.720138888886</v>
      </c>
      <c r="D424" s="49" t="s">
        <v>343</v>
      </c>
      <c r="E424" s="49">
        <v>180203026</v>
      </c>
      <c r="F424" s="49">
        <v>31.3</v>
      </c>
      <c r="G424" s="49">
        <v>1</v>
      </c>
      <c r="H424" s="49">
        <v>10</v>
      </c>
      <c r="I424" s="49">
        <v>0</v>
      </c>
      <c r="J424" s="49">
        <v>5</v>
      </c>
      <c r="K424" s="49">
        <v>92720</v>
      </c>
      <c r="L424" s="49">
        <v>22760</v>
      </c>
      <c r="M424" s="49">
        <v>0</v>
      </c>
      <c r="N424" s="49">
        <v>69960</v>
      </c>
      <c r="O424" s="49">
        <v>0</v>
      </c>
      <c r="P424" s="49">
        <v>14524</v>
      </c>
      <c r="Q424" s="49">
        <v>0</v>
      </c>
      <c r="R424" s="49">
        <v>55436</v>
      </c>
      <c r="S424" s="49">
        <v>1.71</v>
      </c>
      <c r="T424" s="49">
        <v>94795.56</v>
      </c>
      <c r="U424" s="49"/>
      <c r="V424" s="49"/>
      <c r="W424" s="49"/>
      <c r="X424" s="49" t="s">
        <v>903</v>
      </c>
      <c r="Y424" s="49" t="s">
        <v>904</v>
      </c>
      <c r="Z424" s="49" t="s">
        <v>905</v>
      </c>
      <c r="AA424" s="49" t="s">
        <v>643</v>
      </c>
      <c r="AB424" s="101" t="s">
        <v>906</v>
      </c>
    </row>
    <row r="425" spans="2:28" x14ac:dyDescent="0.15">
      <c r="B425" s="138" t="s">
        <v>588</v>
      </c>
      <c r="C425" s="113">
        <v>43134.739583333336</v>
      </c>
      <c r="D425" s="49" t="s">
        <v>472</v>
      </c>
      <c r="E425" s="49">
        <v>180203028</v>
      </c>
      <c r="F425" s="49">
        <v>30.9</v>
      </c>
      <c r="G425" s="49">
        <v>1</v>
      </c>
      <c r="H425" s="49">
        <v>9</v>
      </c>
      <c r="I425" s="49">
        <v>2</v>
      </c>
      <c r="J425" s="49">
        <v>4</v>
      </c>
      <c r="K425" s="49">
        <v>86280</v>
      </c>
      <c r="L425" s="49">
        <v>16580</v>
      </c>
      <c r="M425" s="49">
        <v>0</v>
      </c>
      <c r="N425" s="49">
        <v>69700</v>
      </c>
      <c r="O425" s="49">
        <v>0</v>
      </c>
      <c r="P425" s="49">
        <v>14135</v>
      </c>
      <c r="Q425" s="49">
        <v>0</v>
      </c>
      <c r="R425" s="49">
        <v>55565</v>
      </c>
      <c r="S425" s="49">
        <v>1.71</v>
      </c>
      <c r="T425" s="49">
        <v>95016.15</v>
      </c>
      <c r="U425" s="49"/>
      <c r="V425" s="49"/>
      <c r="W425" s="49"/>
      <c r="X425" s="49" t="s">
        <v>928</v>
      </c>
      <c r="Y425" s="49" t="s">
        <v>477</v>
      </c>
      <c r="Z425" s="49" t="s">
        <v>749</v>
      </c>
      <c r="AA425" s="49" t="s">
        <v>786</v>
      </c>
      <c r="AB425" s="101" t="s">
        <v>692</v>
      </c>
    </row>
    <row r="426" spans="2:28" x14ac:dyDescent="0.15">
      <c r="B426" s="138" t="s">
        <v>588</v>
      </c>
      <c r="C426" s="113">
        <v>43134.741666666669</v>
      </c>
      <c r="D426" s="49" t="s">
        <v>929</v>
      </c>
      <c r="E426" s="49">
        <v>180203013</v>
      </c>
      <c r="F426" s="49">
        <v>25.2</v>
      </c>
      <c r="G426" s="49">
        <v>1</v>
      </c>
      <c r="H426" s="49">
        <v>8</v>
      </c>
      <c r="I426" s="49">
        <v>2</v>
      </c>
      <c r="J426" s="49">
        <v>3</v>
      </c>
      <c r="K426" s="49">
        <v>72830</v>
      </c>
      <c r="L426" s="49">
        <v>18120</v>
      </c>
      <c r="M426" s="49">
        <v>0</v>
      </c>
      <c r="N426" s="49">
        <v>54710</v>
      </c>
      <c r="O426" s="49">
        <v>0</v>
      </c>
      <c r="P426" s="49">
        <v>7353</v>
      </c>
      <c r="Q426" s="49">
        <v>0</v>
      </c>
      <c r="R426" s="49">
        <v>47357</v>
      </c>
      <c r="S426" s="49">
        <v>1.71</v>
      </c>
      <c r="T426" s="49">
        <v>80980.47</v>
      </c>
      <c r="U426" s="49"/>
      <c r="V426" s="49"/>
      <c r="W426" s="49"/>
      <c r="X426" s="49" t="s">
        <v>851</v>
      </c>
      <c r="Y426" s="49" t="s">
        <v>852</v>
      </c>
      <c r="Z426" s="49" t="s">
        <v>768</v>
      </c>
      <c r="AA426" s="49" t="s">
        <v>643</v>
      </c>
      <c r="AB426" s="101" t="s">
        <v>853</v>
      </c>
    </row>
    <row r="427" spans="2:28" x14ac:dyDescent="0.15">
      <c r="B427" s="138" t="s">
        <v>588</v>
      </c>
      <c r="C427" s="113">
        <v>43134.749305555553</v>
      </c>
      <c r="D427" s="49" t="s">
        <v>930</v>
      </c>
      <c r="E427" s="49">
        <v>180203029</v>
      </c>
      <c r="F427" s="49">
        <v>29.5</v>
      </c>
      <c r="G427" s="49">
        <v>1</v>
      </c>
      <c r="H427" s="49">
        <v>9</v>
      </c>
      <c r="I427" s="49">
        <v>0</v>
      </c>
      <c r="J427" s="49">
        <v>4</v>
      </c>
      <c r="K427" s="49">
        <v>64460</v>
      </c>
      <c r="L427" s="49">
        <v>15040</v>
      </c>
      <c r="M427" s="49">
        <v>0</v>
      </c>
      <c r="N427" s="49">
        <v>49420</v>
      </c>
      <c r="O427" s="49">
        <v>0</v>
      </c>
      <c r="P427" s="49">
        <v>9192</v>
      </c>
      <c r="Q427" s="49">
        <v>0</v>
      </c>
      <c r="R427" s="49">
        <v>40228</v>
      </c>
      <c r="S427" s="49">
        <v>1.71</v>
      </c>
      <c r="T427" s="49">
        <v>68789.88</v>
      </c>
      <c r="U427" s="49"/>
      <c r="V427" s="49"/>
      <c r="W427" s="49"/>
      <c r="X427" s="49" t="s">
        <v>137</v>
      </c>
      <c r="Y427" s="49" t="s">
        <v>138</v>
      </c>
      <c r="Z427" s="49" t="s">
        <v>139</v>
      </c>
      <c r="AA427" s="49" t="s">
        <v>643</v>
      </c>
      <c r="AB427" s="101" t="s">
        <v>609</v>
      </c>
    </row>
    <row r="428" spans="2:28" x14ac:dyDescent="0.15">
      <c r="B428" s="138" t="s">
        <v>588</v>
      </c>
      <c r="C428" s="113">
        <v>43134.76666666667</v>
      </c>
      <c r="D428" s="49" t="s">
        <v>719</v>
      </c>
      <c r="E428" s="49">
        <v>180203032</v>
      </c>
      <c r="F428" s="49">
        <v>29.8</v>
      </c>
      <c r="G428" s="49">
        <v>1</v>
      </c>
      <c r="H428" s="49">
        <v>8</v>
      </c>
      <c r="I428" s="49">
        <v>0</v>
      </c>
      <c r="J428" s="49">
        <v>3</v>
      </c>
      <c r="K428" s="49">
        <v>43910</v>
      </c>
      <c r="L428" s="49">
        <v>12280</v>
      </c>
      <c r="M428" s="49">
        <v>0</v>
      </c>
      <c r="N428" s="49">
        <v>31630</v>
      </c>
      <c r="O428" s="49">
        <v>0</v>
      </c>
      <c r="P428" s="49">
        <v>5997</v>
      </c>
      <c r="Q428" s="49">
        <v>0</v>
      </c>
      <c r="R428" s="49">
        <v>25633</v>
      </c>
      <c r="S428" s="49">
        <v>1.71</v>
      </c>
      <c r="T428" s="49">
        <v>43832.43</v>
      </c>
      <c r="U428" s="49"/>
      <c r="V428" s="49"/>
      <c r="W428" s="49"/>
      <c r="X428" s="49" t="s">
        <v>137</v>
      </c>
      <c r="Y428" s="49" t="s">
        <v>138</v>
      </c>
      <c r="Z428" s="49" t="s">
        <v>139</v>
      </c>
      <c r="AA428" s="49" t="s">
        <v>643</v>
      </c>
      <c r="AB428" s="101" t="s">
        <v>609</v>
      </c>
    </row>
    <row r="429" spans="2:28" x14ac:dyDescent="0.15">
      <c r="C429" s="113" t="s">
        <v>679</v>
      </c>
      <c r="D429" s="49"/>
      <c r="E429" s="49"/>
      <c r="F429" s="49"/>
      <c r="G429" s="49"/>
      <c r="H429" s="49"/>
      <c r="I429" s="49"/>
      <c r="J429" s="49"/>
      <c r="K429" s="49"/>
      <c r="L429" s="49"/>
      <c r="M429" s="49"/>
      <c r="N429" s="49"/>
      <c r="O429" s="49"/>
      <c r="P429" s="49"/>
      <c r="Q429" s="49"/>
      <c r="R429" s="49"/>
      <c r="S429" s="49"/>
      <c r="T429" s="49"/>
      <c r="U429" s="49"/>
      <c r="V429" s="49"/>
      <c r="W429" s="49"/>
      <c r="X429" s="49"/>
      <c r="Y429" s="49"/>
      <c r="Z429" s="49"/>
      <c r="AA429" s="49"/>
      <c r="AB429" s="101"/>
    </row>
    <row r="430" spans="2:28" x14ac:dyDescent="0.15">
      <c r="B430" s="138" t="s">
        <v>588</v>
      </c>
      <c r="C430" s="113">
        <v>43134.802083333336</v>
      </c>
      <c r="D430" s="49" t="s">
        <v>755</v>
      </c>
      <c r="E430" s="49">
        <v>180203027</v>
      </c>
      <c r="F430" s="49">
        <v>30.3</v>
      </c>
      <c r="G430" s="49">
        <v>1</v>
      </c>
      <c r="H430" s="49">
        <v>9</v>
      </c>
      <c r="I430" s="49">
        <v>2</v>
      </c>
      <c r="J430" s="49">
        <v>4</v>
      </c>
      <c r="K430" s="49">
        <v>85770</v>
      </c>
      <c r="L430" s="49">
        <v>18730</v>
      </c>
      <c r="M430" s="49">
        <v>0</v>
      </c>
      <c r="N430" s="49">
        <v>67040</v>
      </c>
      <c r="O430" s="49">
        <v>0</v>
      </c>
      <c r="P430" s="49">
        <v>13113</v>
      </c>
      <c r="Q430" s="49">
        <v>0</v>
      </c>
      <c r="R430" s="49">
        <v>53927</v>
      </c>
      <c r="S430" s="49">
        <v>1.71</v>
      </c>
      <c r="T430" s="49">
        <v>92215.17</v>
      </c>
      <c r="U430" s="49"/>
      <c r="V430" s="49"/>
      <c r="W430" s="49"/>
      <c r="X430" s="49" t="s">
        <v>748</v>
      </c>
      <c r="Y430" s="49" t="s">
        <v>477</v>
      </c>
      <c r="Z430" s="49" t="s">
        <v>749</v>
      </c>
      <c r="AA430" s="49" t="s">
        <v>786</v>
      </c>
      <c r="AB430" s="101" t="s">
        <v>692</v>
      </c>
    </row>
    <row r="431" spans="2:28" x14ac:dyDescent="0.15">
      <c r="B431" s="138" t="s">
        <v>588</v>
      </c>
      <c r="C431" s="113">
        <v>43134.875</v>
      </c>
      <c r="D431" s="49" t="s">
        <v>931</v>
      </c>
      <c r="E431" s="49">
        <v>180203031</v>
      </c>
      <c r="F431" s="49">
        <v>27.9</v>
      </c>
      <c r="G431" s="49">
        <v>1</v>
      </c>
      <c r="H431" s="49">
        <v>9</v>
      </c>
      <c r="I431" s="49">
        <v>0</v>
      </c>
      <c r="J431" s="49">
        <v>4</v>
      </c>
      <c r="K431" s="49">
        <v>98250</v>
      </c>
      <c r="L431" s="49">
        <v>18290</v>
      </c>
      <c r="M431" s="49">
        <v>0</v>
      </c>
      <c r="N431" s="49">
        <v>79960</v>
      </c>
      <c r="O431" s="49">
        <v>0</v>
      </c>
      <c r="P431" s="49">
        <v>13337</v>
      </c>
      <c r="Q431" s="49">
        <v>0</v>
      </c>
      <c r="R431" s="49">
        <v>66623</v>
      </c>
      <c r="S431" s="49">
        <v>1.71</v>
      </c>
      <c r="T431" s="49">
        <v>113925.33</v>
      </c>
      <c r="U431" s="49"/>
      <c r="V431" s="49"/>
      <c r="W431" s="49"/>
      <c r="X431" s="49" t="s">
        <v>932</v>
      </c>
      <c r="Y431" s="49" t="s">
        <v>933</v>
      </c>
      <c r="Z431" s="49" t="s">
        <v>439</v>
      </c>
      <c r="AA431" s="49" t="s">
        <v>647</v>
      </c>
      <c r="AB431" s="101" t="s">
        <v>934</v>
      </c>
    </row>
    <row r="432" spans="2:28" x14ac:dyDescent="0.15">
      <c r="C432" s="113"/>
      <c r="D432" s="49"/>
      <c r="E432" s="49"/>
      <c r="F432" s="49"/>
      <c r="G432" s="49"/>
      <c r="H432" s="49"/>
      <c r="I432" s="49"/>
      <c r="J432" s="49"/>
      <c r="K432" s="49"/>
      <c r="L432" s="49"/>
      <c r="M432" s="49"/>
      <c r="N432" s="49"/>
      <c r="O432" s="49"/>
      <c r="P432" s="49"/>
      <c r="Q432" s="49"/>
      <c r="R432" s="49"/>
      <c r="S432" s="49"/>
      <c r="T432" s="49"/>
      <c r="U432" s="49"/>
      <c r="V432" s="49"/>
      <c r="W432" s="49"/>
      <c r="X432" s="49"/>
      <c r="Y432" s="49"/>
      <c r="Z432" s="49"/>
      <c r="AA432" s="49"/>
      <c r="AB432" s="101"/>
    </row>
    <row r="433" spans="2:28" x14ac:dyDescent="0.15">
      <c r="B433" s="138" t="s">
        <v>588</v>
      </c>
      <c r="C433" s="113">
        <v>43135.447916666664</v>
      </c>
      <c r="D433" s="49" t="s">
        <v>519</v>
      </c>
      <c r="E433" s="49">
        <v>180204012</v>
      </c>
      <c r="F433" s="49">
        <v>27.7</v>
      </c>
      <c r="G433" s="49">
        <v>1</v>
      </c>
      <c r="H433" s="49">
        <v>11</v>
      </c>
      <c r="I433" s="49">
        <v>4</v>
      </c>
      <c r="J433" s="49">
        <v>6</v>
      </c>
      <c r="K433" s="49">
        <v>31020</v>
      </c>
      <c r="L433" s="49">
        <v>10310</v>
      </c>
      <c r="M433" s="49">
        <v>0</v>
      </c>
      <c r="N433" s="49">
        <v>20710</v>
      </c>
      <c r="O433" s="49">
        <v>0</v>
      </c>
      <c r="P433" s="49">
        <v>3405</v>
      </c>
      <c r="Q433" s="49">
        <v>104</v>
      </c>
      <c r="R433" s="49">
        <v>17201</v>
      </c>
      <c r="S433" s="49">
        <v>1.71</v>
      </c>
      <c r="T433" s="49">
        <v>29413.71</v>
      </c>
      <c r="U433" s="49"/>
      <c r="V433" s="49"/>
      <c r="W433" s="49"/>
      <c r="X433" s="49" t="s">
        <v>518</v>
      </c>
      <c r="Y433" s="49" t="s">
        <v>339</v>
      </c>
      <c r="Z433" s="49" t="s">
        <v>340</v>
      </c>
      <c r="AA433" s="49" t="s">
        <v>643</v>
      </c>
      <c r="AB433" s="101" t="s">
        <v>658</v>
      </c>
    </row>
    <row r="434" spans="2:28" x14ac:dyDescent="0.15">
      <c r="B434" s="138" t="s">
        <v>588</v>
      </c>
      <c r="C434" s="113">
        <v>43135.456944444442</v>
      </c>
      <c r="D434" s="49" t="s">
        <v>935</v>
      </c>
      <c r="E434" s="49">
        <v>180204007</v>
      </c>
      <c r="F434" s="49">
        <v>27.7</v>
      </c>
      <c r="G434" s="49">
        <v>1.2</v>
      </c>
      <c r="H434" s="49">
        <v>9</v>
      </c>
      <c r="I434" s="49">
        <v>0</v>
      </c>
      <c r="J434" s="49">
        <v>4</v>
      </c>
      <c r="K434" s="49">
        <v>51870</v>
      </c>
      <c r="L434" s="49">
        <v>13320</v>
      </c>
      <c r="M434" s="49">
        <v>77</v>
      </c>
      <c r="N434" s="49">
        <v>38550</v>
      </c>
      <c r="O434" s="49">
        <v>0</v>
      </c>
      <c r="P434" s="49">
        <v>6338</v>
      </c>
      <c r="Q434" s="49">
        <v>0</v>
      </c>
      <c r="R434" s="49">
        <v>32135</v>
      </c>
      <c r="S434" s="49">
        <v>1.71</v>
      </c>
      <c r="T434" s="49">
        <v>54950.85</v>
      </c>
      <c r="U434" s="49"/>
      <c r="V434" s="49"/>
      <c r="W434" s="49"/>
      <c r="X434" s="49" t="s">
        <v>936</v>
      </c>
      <c r="Y434" s="49" t="s">
        <v>937</v>
      </c>
      <c r="Z434" s="49" t="s">
        <v>938</v>
      </c>
      <c r="AA434" s="49" t="s">
        <v>643</v>
      </c>
      <c r="AB434" s="101" t="s">
        <v>939</v>
      </c>
    </row>
    <row r="435" spans="2:28" x14ac:dyDescent="0.15">
      <c r="B435" s="138" t="s">
        <v>588</v>
      </c>
      <c r="C435" s="113">
        <v>43135.479861111111</v>
      </c>
      <c r="D435" s="49" t="s">
        <v>940</v>
      </c>
      <c r="E435" s="49">
        <v>180204004</v>
      </c>
      <c r="F435" s="49">
        <v>28.1</v>
      </c>
      <c r="G435" s="49">
        <v>1.2</v>
      </c>
      <c r="H435" s="49">
        <v>9</v>
      </c>
      <c r="I435" s="49">
        <v>0</v>
      </c>
      <c r="J435" s="49">
        <v>4</v>
      </c>
      <c r="K435" s="49">
        <v>111650</v>
      </c>
      <c r="L435" s="49">
        <v>22870</v>
      </c>
      <c r="M435" s="49">
        <v>178</v>
      </c>
      <c r="N435" s="49">
        <v>88780</v>
      </c>
      <c r="O435" s="49">
        <v>0</v>
      </c>
      <c r="P435" s="49">
        <v>15022</v>
      </c>
      <c r="Q435" s="49">
        <v>0</v>
      </c>
      <c r="R435" s="49">
        <v>73580</v>
      </c>
      <c r="S435" s="49">
        <v>1.71</v>
      </c>
      <c r="T435" s="49">
        <v>125821.8</v>
      </c>
      <c r="U435" s="49"/>
      <c r="V435" s="49"/>
      <c r="W435" s="49"/>
      <c r="X435" s="49" t="s">
        <v>547</v>
      </c>
      <c r="Y435" s="49" t="s">
        <v>548</v>
      </c>
      <c r="Z435" s="49" t="s">
        <v>533</v>
      </c>
      <c r="AA435" s="49" t="s">
        <v>643</v>
      </c>
      <c r="AB435" s="101" t="s">
        <v>705</v>
      </c>
    </row>
    <row r="436" spans="2:28" x14ac:dyDescent="0.15">
      <c r="B436" s="138" t="s">
        <v>588</v>
      </c>
      <c r="C436" s="113">
        <v>43135.484722222223</v>
      </c>
      <c r="D436" s="49" t="s">
        <v>941</v>
      </c>
      <c r="E436" s="49">
        <v>180204008</v>
      </c>
      <c r="F436" s="49">
        <v>27</v>
      </c>
      <c r="G436" s="49">
        <v>1</v>
      </c>
      <c r="H436" s="49">
        <v>8</v>
      </c>
      <c r="I436" s="49">
        <v>0</v>
      </c>
      <c r="J436" s="49">
        <v>3</v>
      </c>
      <c r="K436" s="49">
        <v>57290</v>
      </c>
      <c r="L436" s="49">
        <v>14710</v>
      </c>
      <c r="M436" s="49">
        <v>0</v>
      </c>
      <c r="N436" s="49">
        <v>42580</v>
      </c>
      <c r="O436" s="49">
        <v>0</v>
      </c>
      <c r="P436" s="49">
        <v>6642</v>
      </c>
      <c r="Q436" s="49">
        <v>0</v>
      </c>
      <c r="R436" s="49">
        <v>35938</v>
      </c>
      <c r="S436" s="49">
        <v>1.71</v>
      </c>
      <c r="T436" s="49">
        <v>61453.979999999996</v>
      </c>
      <c r="U436" s="49"/>
      <c r="V436" s="49"/>
      <c r="W436" s="49"/>
      <c r="X436" s="49" t="s">
        <v>936</v>
      </c>
      <c r="Y436" s="49" t="s">
        <v>937</v>
      </c>
      <c r="Z436" s="49" t="s">
        <v>938</v>
      </c>
      <c r="AA436" s="49" t="s">
        <v>643</v>
      </c>
      <c r="AB436" s="101" t="s">
        <v>939</v>
      </c>
    </row>
    <row r="437" spans="2:28" x14ac:dyDescent="0.15">
      <c r="B437" s="138" t="s">
        <v>588</v>
      </c>
      <c r="C437" s="113">
        <v>43135.509027777778</v>
      </c>
      <c r="D437" s="49" t="s">
        <v>341</v>
      </c>
      <c r="E437" s="49">
        <v>180204011</v>
      </c>
      <c r="F437" s="49">
        <v>27.5</v>
      </c>
      <c r="G437" s="49">
        <v>1.5</v>
      </c>
      <c r="H437" s="49">
        <v>11</v>
      </c>
      <c r="I437" s="49">
        <v>3</v>
      </c>
      <c r="J437" s="49">
        <v>5</v>
      </c>
      <c r="K437" s="49">
        <v>36540</v>
      </c>
      <c r="L437" s="49">
        <v>9130</v>
      </c>
      <c r="M437" s="49">
        <v>137</v>
      </c>
      <c r="N437" s="49">
        <v>27410</v>
      </c>
      <c r="O437" s="49">
        <v>0</v>
      </c>
      <c r="P437" s="49">
        <v>4440</v>
      </c>
      <c r="Q437" s="49">
        <v>0</v>
      </c>
      <c r="R437" s="49">
        <v>22833</v>
      </c>
      <c r="S437" s="49">
        <v>1.71</v>
      </c>
      <c r="T437" s="49">
        <v>39044.43</v>
      </c>
      <c r="U437" s="49"/>
      <c r="V437" s="49"/>
      <c r="W437" s="49"/>
      <c r="X437" s="49" t="s">
        <v>518</v>
      </c>
      <c r="Y437" s="49" t="s">
        <v>339</v>
      </c>
      <c r="Z437" s="49" t="s">
        <v>340</v>
      </c>
      <c r="AA437" s="49" t="s">
        <v>643</v>
      </c>
      <c r="AB437" s="101" t="s">
        <v>658</v>
      </c>
    </row>
    <row r="438" spans="2:28" x14ac:dyDescent="0.15">
      <c r="B438" s="138" t="s">
        <v>588</v>
      </c>
      <c r="C438" s="113">
        <v>43135.573611111111</v>
      </c>
      <c r="D438" s="49" t="s">
        <v>942</v>
      </c>
      <c r="E438" s="49">
        <v>180204010</v>
      </c>
      <c r="F438" s="49">
        <v>29.9</v>
      </c>
      <c r="G438" s="49">
        <v>1</v>
      </c>
      <c r="H438" s="49">
        <v>8</v>
      </c>
      <c r="I438" s="49">
        <v>0</v>
      </c>
      <c r="J438" s="49">
        <v>3</v>
      </c>
      <c r="K438" s="49">
        <v>93620</v>
      </c>
      <c r="L438" s="49">
        <v>18660</v>
      </c>
      <c r="M438" s="49">
        <v>0</v>
      </c>
      <c r="N438" s="49">
        <v>74960</v>
      </c>
      <c r="O438" s="49">
        <v>0</v>
      </c>
      <c r="P438" s="49">
        <v>14302</v>
      </c>
      <c r="Q438" s="49">
        <v>0</v>
      </c>
      <c r="R438" s="49">
        <v>60658</v>
      </c>
      <c r="S438" s="49">
        <v>1.71</v>
      </c>
      <c r="T438" s="49">
        <v>103725.18</v>
      </c>
      <c r="U438" s="49"/>
      <c r="V438" s="49"/>
      <c r="W438" s="49"/>
      <c r="X438" s="49" t="s">
        <v>437</v>
      </c>
      <c r="Y438" s="49" t="s">
        <v>438</v>
      </c>
      <c r="Z438" s="49" t="s">
        <v>439</v>
      </c>
      <c r="AA438" s="49" t="s">
        <v>647</v>
      </c>
      <c r="AB438" s="101" t="s">
        <v>681</v>
      </c>
    </row>
    <row r="439" spans="2:28" x14ac:dyDescent="0.15">
      <c r="B439" s="138" t="s">
        <v>588</v>
      </c>
      <c r="C439" s="113">
        <v>43135.584027777775</v>
      </c>
      <c r="D439" s="49" t="s">
        <v>943</v>
      </c>
      <c r="E439" s="49">
        <v>180204009</v>
      </c>
      <c r="F439" s="49">
        <v>25.3</v>
      </c>
      <c r="G439" s="49">
        <v>1</v>
      </c>
      <c r="H439" s="49">
        <v>9</v>
      </c>
      <c r="I439" s="49">
        <v>0</v>
      </c>
      <c r="J439" s="49">
        <v>4</v>
      </c>
      <c r="K439" s="49">
        <v>101800</v>
      </c>
      <c r="L439" s="49">
        <v>19310</v>
      </c>
      <c r="M439" s="49">
        <v>0</v>
      </c>
      <c r="N439" s="49">
        <v>82490</v>
      </c>
      <c r="O439" s="49">
        <v>0</v>
      </c>
      <c r="P439" s="49">
        <v>11186</v>
      </c>
      <c r="Q439" s="49">
        <v>0</v>
      </c>
      <c r="R439" s="49">
        <v>71304</v>
      </c>
      <c r="S439" s="49">
        <v>1.71</v>
      </c>
      <c r="T439" s="49">
        <v>121929.84</v>
      </c>
      <c r="U439" s="49"/>
      <c r="V439" s="49"/>
      <c r="W439" s="49"/>
      <c r="X439" s="49" t="s">
        <v>437</v>
      </c>
      <c r="Y439" s="49" t="s">
        <v>438</v>
      </c>
      <c r="Z439" s="49" t="s">
        <v>439</v>
      </c>
      <c r="AA439" s="49" t="s">
        <v>647</v>
      </c>
      <c r="AB439" s="101" t="s">
        <v>681</v>
      </c>
    </row>
    <row r="440" spans="2:28" x14ac:dyDescent="0.15">
      <c r="B440" s="138" t="s">
        <v>588</v>
      </c>
      <c r="C440" s="113">
        <v>43135.631944444445</v>
      </c>
      <c r="D440" s="49" t="s">
        <v>194</v>
      </c>
      <c r="E440" s="49">
        <v>180204018</v>
      </c>
      <c r="F440" s="49">
        <v>30.8</v>
      </c>
      <c r="G440" s="49">
        <v>1</v>
      </c>
      <c r="H440" s="49">
        <v>8</v>
      </c>
      <c r="I440" s="49">
        <v>0</v>
      </c>
      <c r="J440" s="49">
        <v>3</v>
      </c>
      <c r="K440" s="49">
        <v>36740</v>
      </c>
      <c r="L440" s="49">
        <v>14320</v>
      </c>
      <c r="M440" s="49">
        <v>0</v>
      </c>
      <c r="N440" s="49">
        <v>22420</v>
      </c>
      <c r="O440" s="49">
        <v>0</v>
      </c>
      <c r="P440" s="49">
        <v>4520</v>
      </c>
      <c r="Q440" s="49">
        <v>0</v>
      </c>
      <c r="R440" s="49">
        <v>17900</v>
      </c>
      <c r="S440" s="49">
        <v>1.71</v>
      </c>
      <c r="T440" s="49">
        <v>30609</v>
      </c>
      <c r="U440" s="49"/>
      <c r="V440" s="49"/>
      <c r="W440" s="49"/>
      <c r="X440" s="49" t="s">
        <v>195</v>
      </c>
      <c r="Y440" s="49" t="s">
        <v>196</v>
      </c>
      <c r="Z440" s="49" t="s">
        <v>197</v>
      </c>
      <c r="AA440" s="49" t="s">
        <v>643</v>
      </c>
      <c r="AB440" s="101" t="s">
        <v>618</v>
      </c>
    </row>
    <row r="441" spans="2:28" x14ac:dyDescent="0.15">
      <c r="B441" s="138" t="s">
        <v>588</v>
      </c>
      <c r="C441" s="113">
        <v>43135.637499999997</v>
      </c>
      <c r="D441" s="49" t="s">
        <v>864</v>
      </c>
      <c r="E441" s="49">
        <v>180204017</v>
      </c>
      <c r="F441" s="49">
        <v>30.1</v>
      </c>
      <c r="G441" s="49">
        <v>1</v>
      </c>
      <c r="H441" s="49">
        <v>8</v>
      </c>
      <c r="I441" s="49">
        <v>0</v>
      </c>
      <c r="J441" s="49">
        <v>3</v>
      </c>
      <c r="K441" s="49">
        <v>24680</v>
      </c>
      <c r="L441" s="49">
        <v>7490</v>
      </c>
      <c r="M441" s="49">
        <v>0</v>
      </c>
      <c r="N441" s="49">
        <v>17190</v>
      </c>
      <c r="O441" s="49">
        <v>0</v>
      </c>
      <c r="P441" s="49">
        <v>3321</v>
      </c>
      <c r="Q441" s="49">
        <v>0</v>
      </c>
      <c r="R441" s="49">
        <v>13869</v>
      </c>
      <c r="S441" s="49">
        <v>1.71</v>
      </c>
      <c r="T441" s="49">
        <v>23715.989999999998</v>
      </c>
      <c r="U441" s="49"/>
      <c r="V441" s="49"/>
      <c r="W441" s="49"/>
      <c r="X441" s="49" t="s">
        <v>865</v>
      </c>
      <c r="Y441" s="49" t="s">
        <v>866</v>
      </c>
      <c r="Z441" s="49" t="s">
        <v>867</v>
      </c>
      <c r="AA441" s="49" t="s">
        <v>868</v>
      </c>
      <c r="AB441" s="101" t="s">
        <v>869</v>
      </c>
    </row>
    <row r="442" spans="2:28" x14ac:dyDescent="0.15">
      <c r="B442" s="138" t="s">
        <v>588</v>
      </c>
      <c r="C442" s="113">
        <v>43135.649305555555</v>
      </c>
      <c r="D442" s="49" t="s">
        <v>944</v>
      </c>
      <c r="E442" s="49">
        <v>180204013</v>
      </c>
      <c r="F442" s="49">
        <v>28</v>
      </c>
      <c r="G442" s="49">
        <v>1</v>
      </c>
      <c r="H442" s="49">
        <v>8</v>
      </c>
      <c r="I442" s="49">
        <v>0</v>
      </c>
      <c r="J442" s="49">
        <v>3</v>
      </c>
      <c r="K442" s="49">
        <v>62130</v>
      </c>
      <c r="L442" s="49">
        <v>15670</v>
      </c>
      <c r="M442" s="49">
        <v>0</v>
      </c>
      <c r="N442" s="49">
        <v>46460</v>
      </c>
      <c r="O442" s="49">
        <v>0</v>
      </c>
      <c r="P442" s="49">
        <v>7805</v>
      </c>
      <c r="Q442" s="49">
        <v>0</v>
      </c>
      <c r="R442" s="49">
        <v>38655</v>
      </c>
      <c r="S442" s="49">
        <v>1.71</v>
      </c>
      <c r="T442" s="49">
        <v>66100.05</v>
      </c>
      <c r="U442" s="49"/>
      <c r="V442" s="49"/>
      <c r="W442" s="49"/>
      <c r="X442" s="49" t="s">
        <v>936</v>
      </c>
      <c r="Y442" s="49" t="s">
        <v>937</v>
      </c>
      <c r="Z442" s="49" t="s">
        <v>938</v>
      </c>
      <c r="AA442" s="49" t="s">
        <v>643</v>
      </c>
      <c r="AB442" s="101" t="s">
        <v>939</v>
      </c>
    </row>
    <row r="443" spans="2:28" x14ac:dyDescent="0.15">
      <c r="B443" s="138" t="s">
        <v>588</v>
      </c>
      <c r="C443" s="113">
        <v>43135.662499999999</v>
      </c>
      <c r="D443" s="49" t="s">
        <v>846</v>
      </c>
      <c r="E443" s="49">
        <v>180204020</v>
      </c>
      <c r="F443" s="49">
        <v>25.9</v>
      </c>
      <c r="G443" s="49">
        <v>1</v>
      </c>
      <c r="H443" s="49">
        <v>8</v>
      </c>
      <c r="I443" s="49">
        <v>0</v>
      </c>
      <c r="J443" s="49">
        <v>3</v>
      </c>
      <c r="K443" s="49">
        <v>11190</v>
      </c>
      <c r="L443" s="49">
        <v>6850</v>
      </c>
      <c r="M443" s="49">
        <v>0</v>
      </c>
      <c r="N443" s="49">
        <v>4340</v>
      </c>
      <c r="O443" s="49">
        <v>0</v>
      </c>
      <c r="P443" s="49">
        <v>620</v>
      </c>
      <c r="Q443" s="49">
        <v>0</v>
      </c>
      <c r="R443" s="49">
        <v>3720</v>
      </c>
      <c r="S443" s="49">
        <v>1.71</v>
      </c>
      <c r="T443" s="49">
        <v>6361.2</v>
      </c>
      <c r="U443" s="49"/>
      <c r="V443" s="49"/>
      <c r="W443" s="49"/>
      <c r="X443" s="49" t="s">
        <v>847</v>
      </c>
      <c r="Y443" s="49" t="s">
        <v>848</v>
      </c>
      <c r="Z443" s="49" t="s">
        <v>443</v>
      </c>
      <c r="AA443" s="49" t="s">
        <v>643</v>
      </c>
      <c r="AB443" s="101" t="s">
        <v>849</v>
      </c>
    </row>
    <row r="444" spans="2:28" x14ac:dyDescent="0.15">
      <c r="B444" s="138" t="s">
        <v>588</v>
      </c>
      <c r="C444" s="113">
        <v>43135.672222222223</v>
      </c>
      <c r="D444" s="49" t="s">
        <v>945</v>
      </c>
      <c r="E444" s="49">
        <v>180204014</v>
      </c>
      <c r="F444" s="49">
        <v>25.5</v>
      </c>
      <c r="G444" s="49">
        <v>1</v>
      </c>
      <c r="H444" s="49">
        <v>9</v>
      </c>
      <c r="I444" s="49">
        <v>2</v>
      </c>
      <c r="J444" s="49">
        <v>4</v>
      </c>
      <c r="K444" s="49">
        <v>95810</v>
      </c>
      <c r="L444" s="49">
        <v>19070</v>
      </c>
      <c r="M444" s="49">
        <v>0</v>
      </c>
      <c r="N444" s="49">
        <v>76740</v>
      </c>
      <c r="O444" s="49">
        <v>0</v>
      </c>
      <c r="P444" s="49">
        <v>10590</v>
      </c>
      <c r="Q444" s="49">
        <v>0</v>
      </c>
      <c r="R444" s="49">
        <v>66150</v>
      </c>
      <c r="S444" s="49">
        <v>1.71</v>
      </c>
      <c r="T444" s="49">
        <v>113116.5</v>
      </c>
      <c r="U444" s="49"/>
      <c r="V444" s="49"/>
      <c r="W444" s="49"/>
      <c r="X444" s="49" t="s">
        <v>469</v>
      </c>
      <c r="Y444" s="49" t="s">
        <v>470</v>
      </c>
      <c r="Z444" s="49" t="s">
        <v>471</v>
      </c>
      <c r="AA444" s="49" t="s">
        <v>643</v>
      </c>
      <c r="AB444" s="101" t="s">
        <v>688</v>
      </c>
    </row>
    <row r="445" spans="2:28" x14ac:dyDescent="0.15">
      <c r="B445" s="138" t="s">
        <v>588</v>
      </c>
      <c r="C445" s="113">
        <v>43135.679166666669</v>
      </c>
      <c r="D445" s="49" t="s">
        <v>946</v>
      </c>
      <c r="E445" s="49">
        <v>180204021</v>
      </c>
      <c r="F445" s="49">
        <v>26.6</v>
      </c>
      <c r="G445" s="49">
        <v>1</v>
      </c>
      <c r="H445" s="49">
        <v>7</v>
      </c>
      <c r="I445" s="49">
        <v>0</v>
      </c>
      <c r="J445" s="49">
        <v>2</v>
      </c>
      <c r="K445" s="49">
        <v>18410</v>
      </c>
      <c r="L445" s="49">
        <v>4170</v>
      </c>
      <c r="M445" s="49">
        <v>0</v>
      </c>
      <c r="N445" s="49">
        <v>14240</v>
      </c>
      <c r="O445" s="49">
        <v>0</v>
      </c>
      <c r="P445" s="49">
        <v>2153</v>
      </c>
      <c r="Q445" s="49">
        <v>0</v>
      </c>
      <c r="R445" s="49">
        <v>12087</v>
      </c>
      <c r="S445" s="49">
        <v>1.71</v>
      </c>
      <c r="T445" s="49">
        <v>20668.77</v>
      </c>
      <c r="U445" s="49"/>
      <c r="V445" s="49"/>
      <c r="W445" s="49"/>
      <c r="X445" s="49" t="s">
        <v>880</v>
      </c>
      <c r="Y445" s="49" t="s">
        <v>881</v>
      </c>
      <c r="Z445" s="49" t="s">
        <v>882</v>
      </c>
      <c r="AA445" s="49" t="s">
        <v>643</v>
      </c>
      <c r="AB445" s="101" t="s">
        <v>883</v>
      </c>
    </row>
    <row r="446" spans="2:28" x14ac:dyDescent="0.15">
      <c r="B446" s="138" t="s">
        <v>588</v>
      </c>
      <c r="C446" s="113">
        <v>43135.682638888888</v>
      </c>
      <c r="D446" s="49" t="s">
        <v>947</v>
      </c>
      <c r="E446" s="49">
        <v>180204019</v>
      </c>
      <c r="F446" s="49">
        <v>27.6</v>
      </c>
      <c r="G446" s="49">
        <v>1</v>
      </c>
      <c r="H446" s="49">
        <v>8</v>
      </c>
      <c r="I446" s="49">
        <v>0</v>
      </c>
      <c r="J446" s="49">
        <v>3</v>
      </c>
      <c r="K446" s="49">
        <v>20620</v>
      </c>
      <c r="L446" s="49">
        <v>5280</v>
      </c>
      <c r="M446" s="49">
        <v>0</v>
      </c>
      <c r="N446" s="49">
        <v>15340</v>
      </c>
      <c r="O446" s="49">
        <v>0</v>
      </c>
      <c r="P446" s="49">
        <v>2503</v>
      </c>
      <c r="Q446" s="49">
        <v>0</v>
      </c>
      <c r="R446" s="49">
        <v>12837</v>
      </c>
      <c r="S446" s="49">
        <v>1.71</v>
      </c>
      <c r="T446" s="49">
        <v>21951.27</v>
      </c>
      <c r="U446" s="49"/>
      <c r="V446" s="49"/>
      <c r="W446" s="49"/>
      <c r="X446" s="49" t="s">
        <v>880</v>
      </c>
      <c r="Y446" s="49" t="s">
        <v>881</v>
      </c>
      <c r="Z446" s="49" t="s">
        <v>882</v>
      </c>
      <c r="AA446" s="49" t="s">
        <v>643</v>
      </c>
      <c r="AB446" s="101" t="s">
        <v>883</v>
      </c>
    </row>
    <row r="447" spans="2:28" x14ac:dyDescent="0.15">
      <c r="B447" s="138" t="s">
        <v>588</v>
      </c>
      <c r="C447" s="113">
        <v>43135.754861111112</v>
      </c>
      <c r="D447" s="49" t="s">
        <v>926</v>
      </c>
      <c r="E447" s="49">
        <v>180204023</v>
      </c>
      <c r="F447" s="49">
        <v>27.5</v>
      </c>
      <c r="G447" s="49">
        <v>1.5</v>
      </c>
      <c r="H447" s="49">
        <v>9</v>
      </c>
      <c r="I447" s="49">
        <v>0</v>
      </c>
      <c r="J447" s="49">
        <v>4</v>
      </c>
      <c r="K447" s="49">
        <v>95710</v>
      </c>
      <c r="L447" s="49">
        <v>17940</v>
      </c>
      <c r="M447" s="49">
        <v>389</v>
      </c>
      <c r="N447" s="49">
        <v>77770</v>
      </c>
      <c r="O447" s="49">
        <v>0</v>
      </c>
      <c r="P447" s="49">
        <v>12599</v>
      </c>
      <c r="Q447" s="49">
        <v>0</v>
      </c>
      <c r="R447" s="49">
        <v>64782</v>
      </c>
      <c r="S447" s="49">
        <v>1.71</v>
      </c>
      <c r="T447" s="49">
        <v>110777.22</v>
      </c>
      <c r="U447" s="49"/>
      <c r="V447" s="49"/>
      <c r="W447" s="49"/>
      <c r="X447" s="49" t="s">
        <v>932</v>
      </c>
      <c r="Y447" s="49" t="s">
        <v>933</v>
      </c>
      <c r="Z447" s="49" t="s">
        <v>439</v>
      </c>
      <c r="AA447" s="49" t="s">
        <v>647</v>
      </c>
      <c r="AB447" s="101" t="s">
        <v>934</v>
      </c>
    </row>
    <row r="448" spans="2:28" x14ac:dyDescent="0.15">
      <c r="B448" s="138" t="s">
        <v>588</v>
      </c>
      <c r="C448" s="113">
        <v>43135.759722222225</v>
      </c>
      <c r="D448" s="49" t="s">
        <v>927</v>
      </c>
      <c r="E448" s="49">
        <v>180204022</v>
      </c>
      <c r="F448" s="49">
        <v>31.3</v>
      </c>
      <c r="G448" s="49">
        <v>1</v>
      </c>
      <c r="H448" s="49">
        <v>8</v>
      </c>
      <c r="I448" s="49">
        <v>0</v>
      </c>
      <c r="J448" s="49">
        <v>3</v>
      </c>
      <c r="K448" s="49">
        <v>82640</v>
      </c>
      <c r="L448" s="49">
        <v>17220</v>
      </c>
      <c r="M448" s="49">
        <v>0</v>
      </c>
      <c r="N448" s="49">
        <v>65420</v>
      </c>
      <c r="O448" s="49">
        <v>0</v>
      </c>
      <c r="P448" s="49">
        <v>13581</v>
      </c>
      <c r="Q448" s="49">
        <v>0</v>
      </c>
      <c r="R448" s="49">
        <v>51839</v>
      </c>
      <c r="S448" s="49">
        <v>1.71</v>
      </c>
      <c r="T448" s="49">
        <v>88644.69</v>
      </c>
      <c r="U448" s="49"/>
      <c r="V448" s="49"/>
      <c r="W448" s="49"/>
      <c r="X448" s="49" t="s">
        <v>932</v>
      </c>
      <c r="Y448" s="49" t="s">
        <v>933</v>
      </c>
      <c r="Z448" s="49" t="s">
        <v>439</v>
      </c>
      <c r="AA448" s="49" t="s">
        <v>647</v>
      </c>
      <c r="AB448" s="101" t="s">
        <v>934</v>
      </c>
    </row>
    <row r="449" spans="2:28" x14ac:dyDescent="0.15">
      <c r="B449" s="138" t="s">
        <v>588</v>
      </c>
      <c r="C449" s="113">
        <v>43136.394444444442</v>
      </c>
      <c r="D449" s="49" t="s">
        <v>917</v>
      </c>
      <c r="E449" s="49">
        <v>180205001</v>
      </c>
      <c r="F449" s="49">
        <v>32.299999999999997</v>
      </c>
      <c r="G449" s="49">
        <v>1</v>
      </c>
      <c r="H449" s="49">
        <v>9</v>
      </c>
      <c r="I449" s="49">
        <v>2</v>
      </c>
      <c r="J449" s="49">
        <v>4</v>
      </c>
      <c r="K449" s="49">
        <v>27580</v>
      </c>
      <c r="L449" s="49">
        <v>6470</v>
      </c>
      <c r="M449" s="49">
        <v>0</v>
      </c>
      <c r="N449" s="49">
        <v>21110</v>
      </c>
      <c r="O449" s="49">
        <v>0</v>
      </c>
      <c r="P449" s="49">
        <v>4636</v>
      </c>
      <c r="Q449" s="49">
        <v>0</v>
      </c>
      <c r="R449" s="49">
        <v>16474</v>
      </c>
      <c r="S449" s="49">
        <v>1.71</v>
      </c>
      <c r="T449" s="49">
        <v>28170.54</v>
      </c>
      <c r="U449" s="49"/>
      <c r="V449" s="49"/>
      <c r="W449" s="49"/>
      <c r="X449" s="49" t="s">
        <v>918</v>
      </c>
      <c r="Y449" s="49" t="s">
        <v>919</v>
      </c>
      <c r="Z449" s="49" t="s">
        <v>867</v>
      </c>
      <c r="AA449" s="49" t="s">
        <v>868</v>
      </c>
      <c r="AB449" s="101" t="s">
        <v>920</v>
      </c>
    </row>
    <row r="450" spans="2:28" x14ac:dyDescent="0.15">
      <c r="B450" s="138" t="s">
        <v>588</v>
      </c>
      <c r="C450" s="113">
        <v>43136.427777777775</v>
      </c>
      <c r="D450" s="49" t="s">
        <v>948</v>
      </c>
      <c r="E450" s="49">
        <v>180205002</v>
      </c>
      <c r="F450" s="49">
        <v>24</v>
      </c>
      <c r="G450" s="49">
        <v>1</v>
      </c>
      <c r="H450" s="49">
        <v>9</v>
      </c>
      <c r="I450" s="49">
        <v>0</v>
      </c>
      <c r="J450" s="49">
        <v>4</v>
      </c>
      <c r="K450" s="49">
        <v>18360</v>
      </c>
      <c r="L450" s="49">
        <v>6470</v>
      </c>
      <c r="M450" s="49">
        <v>0</v>
      </c>
      <c r="N450" s="49">
        <v>11890</v>
      </c>
      <c r="O450" s="49">
        <v>0</v>
      </c>
      <c r="P450" s="49">
        <v>1427</v>
      </c>
      <c r="Q450" s="49">
        <v>0</v>
      </c>
      <c r="R450" s="49">
        <v>10463</v>
      </c>
      <c r="S450" s="49">
        <v>1.71</v>
      </c>
      <c r="T450" s="49">
        <v>17891.73</v>
      </c>
      <c r="U450" s="49"/>
      <c r="V450" s="49"/>
      <c r="W450" s="49"/>
      <c r="X450" s="49" t="s">
        <v>949</v>
      </c>
      <c r="Y450" s="49" t="s">
        <v>950</v>
      </c>
      <c r="Z450" s="49" t="s">
        <v>951</v>
      </c>
      <c r="AA450" s="49" t="s">
        <v>643</v>
      </c>
      <c r="AB450" s="101" t="s">
        <v>952</v>
      </c>
    </row>
    <row r="451" spans="2:28" x14ac:dyDescent="0.15">
      <c r="B451" s="138" t="s">
        <v>588</v>
      </c>
      <c r="C451" s="113">
        <v>43136.546527777777</v>
      </c>
      <c r="D451" s="49" t="s">
        <v>166</v>
      </c>
      <c r="E451" s="49">
        <v>180205003</v>
      </c>
      <c r="F451" s="49">
        <v>29.9</v>
      </c>
      <c r="G451" s="49">
        <v>1</v>
      </c>
      <c r="H451" s="49">
        <v>8</v>
      </c>
      <c r="I451" s="49">
        <v>0</v>
      </c>
      <c r="J451" s="49">
        <v>3</v>
      </c>
      <c r="K451" s="49">
        <v>28480</v>
      </c>
      <c r="L451" s="49">
        <v>10390</v>
      </c>
      <c r="M451" s="49">
        <v>0</v>
      </c>
      <c r="N451" s="49">
        <v>18090</v>
      </c>
      <c r="O451" s="49">
        <v>0</v>
      </c>
      <c r="P451" s="49">
        <v>3452</v>
      </c>
      <c r="Q451" s="49">
        <v>0</v>
      </c>
      <c r="R451" s="49">
        <v>14638</v>
      </c>
      <c r="S451" s="49">
        <v>1.71</v>
      </c>
      <c r="T451" s="49">
        <v>25030.98</v>
      </c>
      <c r="U451" s="49"/>
      <c r="V451" s="49"/>
      <c r="W451" s="49"/>
      <c r="X451" s="49" t="s">
        <v>953</v>
      </c>
      <c r="Y451" s="49" t="s">
        <v>954</v>
      </c>
      <c r="Z451" s="49" t="s">
        <v>955</v>
      </c>
      <c r="AA451" s="49" t="s">
        <v>689</v>
      </c>
      <c r="AB451" s="101" t="s">
        <v>956</v>
      </c>
    </row>
  </sheetData>
  <phoneticPr fontId="1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C15"/>
  <sheetViews>
    <sheetView workbookViewId="0">
      <selection activeCell="Z22" sqref="Z22"/>
    </sheetView>
  </sheetViews>
  <sheetFormatPr defaultRowHeight="14.25" x14ac:dyDescent="0.15"/>
  <cols>
    <col min="1" max="1" width="5.125" customWidth="1"/>
    <col min="2" max="2" width="4.5" customWidth="1"/>
    <col min="3" max="3" width="4.625" customWidth="1"/>
    <col min="4" max="4" width="3.875" customWidth="1"/>
    <col min="5" max="5" width="1.375" customWidth="1"/>
    <col min="6" max="6" width="5.125" customWidth="1"/>
    <col min="7" max="7" width="4.875" customWidth="1"/>
    <col min="8" max="8" width="1.625" customWidth="1"/>
    <col min="9" max="9" width="5.875" customWidth="1"/>
    <col min="10" max="10" width="1.5" customWidth="1"/>
    <col min="11" max="11" width="1.25" customWidth="1"/>
    <col min="12" max="12" width="1.75" customWidth="1"/>
    <col min="13" max="13" width="1.375" customWidth="1"/>
    <col min="14" max="14" width="2" customWidth="1"/>
    <col min="15" max="15" width="0.875" customWidth="1"/>
    <col min="16" max="16" width="3" customWidth="1"/>
    <col min="17" max="17" width="1.25" customWidth="1"/>
    <col min="18" max="18" width="1.125" customWidth="1"/>
    <col min="19" max="19" width="3.625" customWidth="1"/>
    <col min="20" max="20" width="1.625" customWidth="1"/>
    <col min="21" max="21" width="2.625" customWidth="1"/>
    <col min="22" max="22" width="1.625" customWidth="1"/>
    <col min="23" max="23" width="1.875" customWidth="1"/>
    <col min="24" max="24" width="2.25" customWidth="1"/>
    <col min="25" max="25" width="1.625" customWidth="1"/>
    <col min="26" max="26" width="2.25" customWidth="1"/>
    <col min="27" max="27" width="4.375" customWidth="1"/>
    <col min="28" max="28" width="1.875" customWidth="1"/>
    <col min="29" max="29" width="6.25" customWidth="1"/>
    <col min="30" max="30" width="8.625" customWidth="1"/>
  </cols>
  <sheetData>
    <row r="1" spans="1:29" ht="32.1" customHeight="1" x14ac:dyDescent="0.15">
      <c r="A1" s="4"/>
      <c r="B1" s="4"/>
      <c r="C1" s="251"/>
      <c r="D1" s="251"/>
      <c r="E1" s="251"/>
      <c r="F1" s="251"/>
      <c r="G1" s="251"/>
      <c r="H1" s="251"/>
      <c r="I1" s="251"/>
      <c r="J1" s="251"/>
      <c r="K1" s="251"/>
      <c r="L1" s="251"/>
      <c r="M1" s="251"/>
      <c r="N1" s="251"/>
      <c r="O1" s="251"/>
      <c r="P1" s="251"/>
      <c r="Q1" s="32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spans="1:29" ht="23.25" customHeight="1" x14ac:dyDescent="0.15">
      <c r="A2" s="22"/>
      <c r="B2" s="22"/>
      <c r="C2" s="252">
        <f ca="1">NOW()</f>
        <v>43166.421981134263</v>
      </c>
      <c r="D2" s="253"/>
      <c r="E2" s="253"/>
      <c r="F2" s="253"/>
      <c r="G2" s="253"/>
      <c r="H2" s="253"/>
      <c r="I2" s="253"/>
      <c r="J2" s="253"/>
      <c r="K2" s="253"/>
      <c r="L2" s="253"/>
      <c r="M2" s="253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r="3" spans="1:29" ht="15.75" customHeight="1" x14ac:dyDescent="0.15">
      <c r="A3" s="254"/>
      <c r="B3" s="33"/>
      <c r="C3" s="23"/>
      <c r="D3" s="23" t="s">
        <v>17</v>
      </c>
      <c r="E3" s="23"/>
      <c r="F3" s="23"/>
      <c r="G3" s="23"/>
      <c r="H3" s="23"/>
      <c r="I3" s="23"/>
      <c r="J3" s="255"/>
      <c r="K3" s="255"/>
      <c r="L3" s="255"/>
      <c r="M3" s="255"/>
      <c r="N3" s="255"/>
      <c r="O3" s="255"/>
      <c r="P3" s="255"/>
      <c r="Q3" s="255"/>
      <c r="R3" s="255"/>
      <c r="S3" s="258" t="str">
        <f>录入界面!S3</f>
        <v xml:space="preserve">张伟涛            </v>
      </c>
      <c r="T3" s="258"/>
      <c r="U3" s="258"/>
      <c r="V3" s="258"/>
      <c r="W3" s="258"/>
      <c r="X3" s="258"/>
      <c r="Y3" s="258"/>
      <c r="Z3" s="258"/>
      <c r="AA3" s="258"/>
      <c r="AB3" s="258"/>
      <c r="AC3" s="4"/>
    </row>
    <row r="4" spans="1:29" ht="14.25" customHeight="1" x14ac:dyDescent="0.15">
      <c r="A4" s="249"/>
      <c r="B4" s="24"/>
      <c r="C4" s="23"/>
      <c r="D4" s="259" t="s">
        <v>18</v>
      </c>
      <c r="E4" s="259"/>
      <c r="F4" s="259"/>
      <c r="G4" s="259"/>
      <c r="H4" s="259"/>
      <c r="I4" s="259"/>
      <c r="J4" s="255"/>
      <c r="K4" s="255"/>
      <c r="L4" s="255"/>
      <c r="M4" s="255"/>
      <c r="N4" s="255"/>
      <c r="O4" s="255"/>
      <c r="P4" s="255"/>
      <c r="Q4" s="255"/>
      <c r="R4" s="255"/>
      <c r="S4" s="260" t="str">
        <f>录入界面!S4</f>
        <v xml:space="preserve">231084197802101536 </v>
      </c>
      <c r="T4" s="261"/>
      <c r="U4" s="261"/>
      <c r="V4" s="261"/>
      <c r="W4" s="261"/>
      <c r="X4" s="261"/>
      <c r="Y4" s="261"/>
      <c r="Z4" s="261"/>
      <c r="AA4" s="261"/>
      <c r="AB4" s="261"/>
      <c r="AC4" s="4"/>
    </row>
    <row r="5" spans="1:29" ht="14.25" customHeight="1" x14ac:dyDescent="0.15">
      <c r="A5" s="249"/>
      <c r="B5" s="24"/>
      <c r="C5" s="23"/>
      <c r="D5" s="259">
        <f>录入界面!D5</f>
        <v>180130001</v>
      </c>
      <c r="E5" s="259"/>
      <c r="F5" s="259"/>
      <c r="G5" s="249"/>
      <c r="H5" s="249"/>
      <c r="I5" s="24"/>
      <c r="J5" s="255"/>
      <c r="K5" s="255"/>
      <c r="L5" s="255"/>
      <c r="M5" s="255"/>
      <c r="N5" s="255"/>
      <c r="O5" s="255"/>
      <c r="P5" s="255"/>
      <c r="Q5" s="255"/>
      <c r="R5" s="255"/>
      <c r="S5" s="262" t="str">
        <f>录入界面!S5</f>
        <v>黑龙江省宁安市海浪镇二洼村</v>
      </c>
      <c r="T5" s="262"/>
      <c r="U5" s="262"/>
      <c r="V5" s="262"/>
      <c r="W5" s="262"/>
      <c r="X5" s="262"/>
      <c r="Y5" s="262"/>
      <c r="Z5" s="262"/>
      <c r="AA5" s="262"/>
      <c r="AB5" s="262"/>
      <c r="AC5" s="4"/>
    </row>
    <row r="6" spans="1:29" ht="14.25" customHeight="1" x14ac:dyDescent="0.15">
      <c r="A6" s="34"/>
      <c r="B6" s="34"/>
      <c r="C6" s="256"/>
      <c r="D6" s="256"/>
      <c r="E6" s="255"/>
      <c r="F6" s="255"/>
      <c r="G6" s="255"/>
      <c r="H6" s="255"/>
      <c r="I6" s="255"/>
      <c r="J6" s="255"/>
      <c r="K6" s="255"/>
      <c r="L6" s="255"/>
      <c r="M6" s="255"/>
      <c r="N6" s="257"/>
      <c r="O6" s="257"/>
      <c r="P6" s="257"/>
      <c r="Q6" s="257"/>
      <c r="R6" s="257"/>
      <c r="S6" s="257"/>
      <c r="T6" s="257"/>
      <c r="U6" s="257"/>
      <c r="V6" s="255"/>
      <c r="W6" s="255"/>
      <c r="X6" s="255"/>
      <c r="Y6" s="255"/>
      <c r="Z6" s="255"/>
      <c r="AA6" s="255"/>
      <c r="AB6" s="255"/>
      <c r="AC6" s="4"/>
    </row>
    <row r="7" spans="1:29" ht="14.25" customHeight="1" x14ac:dyDescent="0.15">
      <c r="A7" s="65" t="s">
        <v>16</v>
      </c>
      <c r="B7" s="24"/>
      <c r="C7" s="249"/>
      <c r="D7" s="249"/>
      <c r="E7" s="249">
        <f>录入界面!E7</f>
        <v>24</v>
      </c>
      <c r="F7" s="249"/>
      <c r="G7" s="249">
        <f>录入界面!G7</f>
        <v>1</v>
      </c>
      <c r="H7" s="249"/>
      <c r="I7" s="249">
        <f>录入界面!I7</f>
        <v>11</v>
      </c>
      <c r="J7" s="249"/>
      <c r="K7" s="249"/>
      <c r="L7" s="249"/>
      <c r="M7" s="249"/>
      <c r="N7" s="249">
        <f>录入界面!N7</f>
        <v>0</v>
      </c>
      <c r="O7" s="249"/>
      <c r="P7" s="249"/>
      <c r="Q7" s="249"/>
      <c r="R7" s="249"/>
      <c r="S7" s="249">
        <f>录入界面!S7</f>
        <v>8</v>
      </c>
      <c r="T7" s="249"/>
      <c r="U7" s="249"/>
      <c r="V7" s="249"/>
      <c r="W7" s="249"/>
      <c r="X7" s="249"/>
      <c r="Y7" s="249">
        <f>录入界面!Y7</f>
        <v>0</v>
      </c>
      <c r="Z7" s="249"/>
      <c r="AA7" s="249"/>
      <c r="AB7" s="249"/>
      <c r="AC7" s="4"/>
    </row>
    <row r="8" spans="1:29" x14ac:dyDescent="0.15">
      <c r="A8" s="34"/>
      <c r="B8" s="34"/>
      <c r="C8" s="255"/>
      <c r="D8" s="255"/>
      <c r="E8" s="255"/>
      <c r="F8" s="249"/>
      <c r="G8" s="249"/>
      <c r="H8" s="249"/>
      <c r="I8" s="249"/>
      <c r="J8" s="249"/>
      <c r="K8" s="249"/>
      <c r="L8" s="249"/>
      <c r="M8" s="249"/>
      <c r="N8" s="255"/>
      <c r="O8" s="255"/>
      <c r="P8" s="255"/>
      <c r="Q8" s="255"/>
      <c r="R8" s="255"/>
      <c r="S8" s="255"/>
      <c r="T8" s="255"/>
      <c r="U8" s="255"/>
      <c r="V8" s="255"/>
      <c r="W8" s="255"/>
      <c r="X8" s="255"/>
      <c r="Y8" s="255"/>
      <c r="Z8" s="255"/>
      <c r="AA8" s="255"/>
      <c r="AB8" s="255"/>
      <c r="AC8" s="4"/>
    </row>
    <row r="9" spans="1:29" x14ac:dyDescent="0.15">
      <c r="A9" s="249" t="str">
        <f>录入界面!A9</f>
        <v>挂车</v>
      </c>
      <c r="B9" s="249"/>
      <c r="C9" s="263" t="str">
        <f>录入界面!C9</f>
        <v>吉B59710</v>
      </c>
      <c r="D9" s="249"/>
      <c r="E9" s="249"/>
      <c r="F9" s="249"/>
      <c r="G9" s="249"/>
      <c r="H9" s="249"/>
      <c r="I9" s="249"/>
      <c r="J9" s="249"/>
      <c r="K9" s="249"/>
      <c r="L9" s="249"/>
      <c r="M9" s="249"/>
      <c r="N9" s="249">
        <f>录入界面!N9</f>
        <v>100000</v>
      </c>
      <c r="O9" s="249"/>
      <c r="P9" s="249"/>
      <c r="Q9" s="249"/>
      <c r="R9" s="249"/>
      <c r="S9" s="249">
        <f>录入界面!S9</f>
        <v>23740</v>
      </c>
      <c r="T9" s="249"/>
      <c r="U9" s="249"/>
      <c r="V9" s="249">
        <f>录入界面!V9</f>
        <v>0</v>
      </c>
      <c r="W9" s="249"/>
      <c r="X9" s="249"/>
      <c r="Y9" s="249"/>
      <c r="Z9" s="249">
        <f>录入界面!Z9</f>
        <v>76260</v>
      </c>
      <c r="AA9" s="249"/>
      <c r="AB9" s="249"/>
      <c r="AC9" s="4"/>
    </row>
    <row r="10" spans="1:29" x14ac:dyDescent="0.15">
      <c r="C10" s="255"/>
      <c r="D10" s="255"/>
      <c r="E10" s="255"/>
      <c r="F10" s="255"/>
      <c r="G10" s="255"/>
      <c r="H10" s="255"/>
      <c r="I10" s="255"/>
      <c r="J10" s="255"/>
      <c r="K10" s="255"/>
      <c r="L10" s="255"/>
      <c r="M10" s="255"/>
      <c r="N10" s="255"/>
      <c r="O10" s="255"/>
      <c r="P10" s="255"/>
      <c r="Q10" s="255"/>
      <c r="R10" s="255"/>
      <c r="S10" s="255"/>
      <c r="T10" s="255"/>
      <c r="U10" s="255"/>
      <c r="V10" s="255"/>
      <c r="W10" s="255"/>
      <c r="X10" s="255"/>
      <c r="Y10" s="255"/>
      <c r="Z10" s="255"/>
      <c r="AA10" s="255"/>
      <c r="AB10" s="255"/>
      <c r="AC10" s="4"/>
    </row>
    <row r="11" spans="1:29" x14ac:dyDescent="0.15">
      <c r="A11" s="250" t="s">
        <v>85</v>
      </c>
      <c r="B11" s="250"/>
      <c r="C11" s="249">
        <f>录入界面!C11</f>
        <v>9151</v>
      </c>
      <c r="D11" s="249"/>
      <c r="E11" s="249"/>
      <c r="F11" s="249">
        <f>录入界面!F11</f>
        <v>381</v>
      </c>
      <c r="G11" s="249"/>
      <c r="H11" s="249">
        <f>录入界面!H11</f>
        <v>66728</v>
      </c>
      <c r="I11" s="249"/>
      <c r="J11" s="249"/>
      <c r="K11" s="249"/>
      <c r="L11" s="249">
        <f>录入界面!L11</f>
        <v>1.72</v>
      </c>
      <c r="M11" s="249"/>
      <c r="N11" s="249"/>
      <c r="O11" s="249"/>
      <c r="P11" s="249"/>
      <c r="Q11" s="249"/>
      <c r="R11" s="249">
        <f>录入界面!R11</f>
        <v>114772.16</v>
      </c>
      <c r="S11" s="249"/>
      <c r="T11" s="249"/>
      <c r="U11" s="249"/>
      <c r="V11" s="249"/>
      <c r="W11" s="249">
        <f>录入界面!W11</f>
        <v>114772.16</v>
      </c>
      <c r="X11" s="249"/>
      <c r="Y11" s="249"/>
      <c r="Z11" s="249"/>
      <c r="AA11" s="249"/>
      <c r="AB11" s="249"/>
      <c r="AC11" s="4"/>
    </row>
    <row r="12" spans="1:29" x14ac:dyDescent="0.15">
      <c r="A12" s="249"/>
      <c r="B12" s="249"/>
      <c r="C12" s="249"/>
      <c r="D12" s="249"/>
      <c r="E12" s="249"/>
      <c r="F12" s="249"/>
      <c r="G12" s="249"/>
      <c r="H12" s="249"/>
      <c r="I12" s="249"/>
      <c r="J12" s="249"/>
      <c r="K12" s="249"/>
      <c r="L12" s="249"/>
      <c r="M12" s="249"/>
      <c r="N12" s="249"/>
      <c r="O12" s="249"/>
      <c r="P12" s="249"/>
      <c r="Q12" s="249"/>
      <c r="R12" s="249"/>
      <c r="S12" s="249"/>
      <c r="T12" s="249"/>
      <c r="U12" s="249"/>
      <c r="V12" s="249"/>
      <c r="W12" s="249"/>
      <c r="X12" s="249"/>
      <c r="Y12" s="249"/>
      <c r="Z12" s="249"/>
      <c r="AA12" s="249"/>
      <c r="AB12" s="249"/>
      <c r="AC12" s="4"/>
    </row>
    <row r="13" spans="1:29" x14ac:dyDescent="0.15">
      <c r="A13" s="249"/>
      <c r="B13" s="249"/>
      <c r="C13" s="249"/>
      <c r="D13" s="249"/>
      <c r="E13" s="249"/>
      <c r="F13" s="249"/>
      <c r="G13" s="249"/>
      <c r="H13" s="249"/>
      <c r="I13" s="249"/>
      <c r="J13" s="249"/>
      <c r="K13" s="249"/>
      <c r="L13" s="249"/>
      <c r="M13" s="249"/>
      <c r="N13" s="249"/>
      <c r="O13" s="249"/>
      <c r="P13" s="249"/>
      <c r="Q13" s="249"/>
      <c r="R13" s="249"/>
      <c r="S13" s="249"/>
      <c r="T13" s="249"/>
      <c r="U13" s="249"/>
      <c r="V13" s="249"/>
      <c r="W13" s="249"/>
      <c r="X13" s="249"/>
      <c r="Y13" s="249"/>
      <c r="Z13" s="249"/>
      <c r="AA13" s="249"/>
      <c r="AB13" s="249"/>
      <c r="AC13" s="4"/>
    </row>
    <row r="14" spans="1:29" ht="12.75" customHeight="1" x14ac:dyDescent="0.15">
      <c r="A14" s="25"/>
      <c r="B14" s="25"/>
      <c r="C14" s="264">
        <f>录入界面!W11</f>
        <v>114772.16</v>
      </c>
      <c r="D14" s="264"/>
      <c r="E14" s="264"/>
      <c r="F14" s="255"/>
      <c r="G14" s="255"/>
      <c r="H14" s="255"/>
      <c r="I14" s="46">
        <f>录入界面!I14</f>
        <v>11</v>
      </c>
      <c r="J14" s="35"/>
      <c r="K14" s="23"/>
      <c r="L14" s="265">
        <f>录入界面!L14</f>
        <v>4</v>
      </c>
      <c r="M14" s="266"/>
      <c r="N14" s="267"/>
      <c r="O14" s="267"/>
      <c r="P14" s="46">
        <f>录入界面!P14</f>
        <v>7</v>
      </c>
      <c r="Q14" s="71"/>
      <c r="R14" s="65"/>
      <c r="S14" s="46">
        <f>录入界面!S14</f>
        <v>7</v>
      </c>
      <c r="T14" s="71"/>
      <c r="U14" s="265" t="str">
        <f>录入界面!U14</f>
        <v>贰</v>
      </c>
      <c r="V14" s="266"/>
      <c r="W14" s="71"/>
      <c r="X14" s="265" t="str">
        <f>录入界面!X14</f>
        <v>壹</v>
      </c>
      <c r="Y14" s="265"/>
      <c r="Z14" s="72"/>
      <c r="AA14" s="46" t="str">
        <f>录入界面!AA14</f>
        <v>陆</v>
      </c>
      <c r="AB14" s="26"/>
      <c r="AC14" s="4"/>
    </row>
    <row r="15" spans="1:29" ht="16.5" customHeight="1" x14ac:dyDescent="0.15">
      <c r="A15" s="25"/>
      <c r="B15" s="68">
        <f>录入界面!B15</f>
        <v>0</v>
      </c>
      <c r="C15" s="25"/>
      <c r="D15" s="262">
        <f>录入界面!D15</f>
        <v>0</v>
      </c>
      <c r="E15" s="262"/>
      <c r="F15" s="25"/>
      <c r="G15" s="69">
        <f>录入界面!G15</f>
        <v>0</v>
      </c>
      <c r="H15" s="70"/>
      <c r="I15" s="67">
        <f>录入界面!I15</f>
        <v>0</v>
      </c>
      <c r="J15" s="255"/>
      <c r="K15" s="255"/>
      <c r="L15" s="255"/>
      <c r="M15" s="262">
        <f>录入界面!M15</f>
        <v>0</v>
      </c>
      <c r="N15" s="262"/>
      <c r="O15" s="262"/>
      <c r="P15" s="262"/>
      <c r="Q15" s="262"/>
      <c r="R15" s="249"/>
      <c r="S15" s="249"/>
      <c r="T15" s="249"/>
      <c r="U15" s="249"/>
      <c r="V15" s="249"/>
      <c r="W15" s="249"/>
      <c r="X15" s="249"/>
      <c r="Y15" s="249"/>
      <c r="Z15" s="249"/>
      <c r="AA15" s="66"/>
      <c r="AB15" s="27"/>
      <c r="AC15" s="4"/>
    </row>
  </sheetData>
  <mergeCells count="66">
    <mergeCell ref="D15:E15"/>
    <mergeCell ref="J15:L15"/>
    <mergeCell ref="M15:Q15"/>
    <mergeCell ref="R15:Z15"/>
    <mergeCell ref="A12:AB13"/>
    <mergeCell ref="C14:E14"/>
    <mergeCell ref="F14:H14"/>
    <mergeCell ref="L14:M14"/>
    <mergeCell ref="N14:O14"/>
    <mergeCell ref="U14:V14"/>
    <mergeCell ref="X14:Y14"/>
    <mergeCell ref="W11:AB11"/>
    <mergeCell ref="C11:E11"/>
    <mergeCell ref="F11:G11"/>
    <mergeCell ref="H11:K11"/>
    <mergeCell ref="L11:Q11"/>
    <mergeCell ref="R11:V11"/>
    <mergeCell ref="Z9:AB9"/>
    <mergeCell ref="H10:K10"/>
    <mergeCell ref="L10:Q10"/>
    <mergeCell ref="R10:V10"/>
    <mergeCell ref="W10:AB10"/>
    <mergeCell ref="C9:E9"/>
    <mergeCell ref="F9:M9"/>
    <mergeCell ref="N9:R9"/>
    <mergeCell ref="S9:U9"/>
    <mergeCell ref="V9:Y9"/>
    <mergeCell ref="N7:R7"/>
    <mergeCell ref="S7:U7"/>
    <mergeCell ref="V7:X7"/>
    <mergeCell ref="Y7:AB7"/>
    <mergeCell ref="S8:U8"/>
    <mergeCell ref="V8:Y8"/>
    <mergeCell ref="Z8:AB8"/>
    <mergeCell ref="F10:G10"/>
    <mergeCell ref="S3:AB3"/>
    <mergeCell ref="D4:I4"/>
    <mergeCell ref="N4:R4"/>
    <mergeCell ref="S4:AB4"/>
    <mergeCell ref="D5:F5"/>
    <mergeCell ref="G5:H5"/>
    <mergeCell ref="N5:R5"/>
    <mergeCell ref="S5:AB5"/>
    <mergeCell ref="S6:U6"/>
    <mergeCell ref="V6:X6"/>
    <mergeCell ref="Y6:AB6"/>
    <mergeCell ref="C7:D7"/>
    <mergeCell ref="E7:F7"/>
    <mergeCell ref="G7:H7"/>
    <mergeCell ref="I7:M7"/>
    <mergeCell ref="A9:B9"/>
    <mergeCell ref="A11:B11"/>
    <mergeCell ref="C1:P1"/>
    <mergeCell ref="C2:M2"/>
    <mergeCell ref="A3:A5"/>
    <mergeCell ref="J3:M5"/>
    <mergeCell ref="N3:R3"/>
    <mergeCell ref="C6:D6"/>
    <mergeCell ref="E6:F6"/>
    <mergeCell ref="G6:H6"/>
    <mergeCell ref="I6:M6"/>
    <mergeCell ref="N6:R6"/>
    <mergeCell ref="C8:E8"/>
    <mergeCell ref="F8:M8"/>
    <mergeCell ref="N8:R8"/>
    <mergeCell ref="C10:E10"/>
  </mergeCells>
  <phoneticPr fontId="11" type="noConversion"/>
  <pageMargins left="0.27559055118110237" right="0" top="0.19685039370078741" bottom="0" header="0" footer="0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J19"/>
  <sheetViews>
    <sheetView topLeftCell="A2" workbookViewId="0">
      <selection activeCell="F22" sqref="F22"/>
    </sheetView>
  </sheetViews>
  <sheetFormatPr defaultRowHeight="14.25" x14ac:dyDescent="0.15"/>
  <cols>
    <col min="1" max="1" width="10.875" style="73" customWidth="1"/>
    <col min="2" max="2" width="14.125" style="73" customWidth="1"/>
    <col min="3" max="3" width="10.75" style="73" customWidth="1"/>
    <col min="4" max="4" width="5.25" style="73" customWidth="1"/>
    <col min="5" max="5" width="15.875" style="73" customWidth="1"/>
    <col min="6" max="6" width="2.25" style="73" customWidth="1"/>
    <col min="7" max="7" width="2.625" style="73" customWidth="1"/>
    <col min="8" max="8" width="8.625" style="73" customWidth="1"/>
    <col min="9" max="9" width="7" style="73" customWidth="1"/>
    <col min="10" max="10" width="9.75" style="73" customWidth="1"/>
    <col min="11" max="12" width="9" style="73"/>
    <col min="13" max="13" width="10.5" style="73" bestFit="1" customWidth="1"/>
    <col min="14" max="16384" width="9" style="73"/>
  </cols>
  <sheetData>
    <row r="1" spans="1:10" ht="14.25" hidden="1" customHeight="1" x14ac:dyDescent="0.15"/>
    <row r="2" spans="1:10" ht="22.5" x14ac:dyDescent="0.25">
      <c r="A2" s="278" t="s">
        <v>88</v>
      </c>
      <c r="B2" s="278"/>
      <c r="C2" s="278"/>
      <c r="D2" s="105" t="s">
        <v>130</v>
      </c>
      <c r="E2" s="153">
        <v>180307001</v>
      </c>
      <c r="F2" s="75"/>
      <c r="G2" s="76"/>
      <c r="H2" s="279" t="s">
        <v>89</v>
      </c>
      <c r="I2" s="279"/>
      <c r="J2" s="279"/>
    </row>
    <row r="3" spans="1:10" x14ac:dyDescent="0.15">
      <c r="A3" s="77"/>
      <c r="B3" s="280">
        <f ca="1">NOW()</f>
        <v>43166.421981134263</v>
      </c>
      <c r="C3" s="280"/>
      <c r="F3" s="78"/>
      <c r="G3" s="79"/>
      <c r="H3" s="281">
        <f ca="1">B3</f>
        <v>43166.421981134263</v>
      </c>
      <c r="I3" s="282"/>
      <c r="J3" s="282"/>
    </row>
    <row r="4" spans="1:10" ht="18.75" x14ac:dyDescent="0.15">
      <c r="A4" s="80" t="s">
        <v>90</v>
      </c>
      <c r="B4" s="99">
        <v>555</v>
      </c>
      <c r="C4" s="82" t="s">
        <v>91</v>
      </c>
      <c r="D4" s="286">
        <v>666</v>
      </c>
      <c r="E4" s="287"/>
      <c r="F4" s="83"/>
      <c r="G4" s="84"/>
      <c r="H4" s="85"/>
      <c r="I4" s="86"/>
      <c r="J4" s="87"/>
    </row>
    <row r="5" spans="1:10" ht="18.75" x14ac:dyDescent="0.15">
      <c r="A5" s="82" t="s">
        <v>92</v>
      </c>
      <c r="B5" s="81" t="s">
        <v>971</v>
      </c>
      <c r="C5" s="82" t="s">
        <v>233</v>
      </c>
      <c r="D5" s="286" t="s">
        <v>307</v>
      </c>
      <c r="E5" s="287"/>
      <c r="F5" s="83"/>
      <c r="G5" s="84"/>
      <c r="H5" s="283" t="str">
        <f>CONCATENATE(D2,TEXT(E2,"#"))</f>
        <v>№180307001</v>
      </c>
      <c r="I5" s="284"/>
      <c r="J5" s="285"/>
    </row>
    <row r="6" spans="1:10" ht="18.75" x14ac:dyDescent="0.15">
      <c r="A6" s="82" t="s">
        <v>93</v>
      </c>
      <c r="B6" s="288" t="s">
        <v>991</v>
      </c>
      <c r="C6" s="288"/>
      <c r="D6" s="288"/>
      <c r="E6" s="288"/>
      <c r="F6" s="83"/>
      <c r="G6" s="84"/>
      <c r="H6" s="88"/>
      <c r="I6" s="89"/>
      <c r="J6" s="90"/>
    </row>
    <row r="7" spans="1:10" ht="18.75" x14ac:dyDescent="0.15">
      <c r="A7" s="82" t="s">
        <v>94</v>
      </c>
      <c r="B7" s="288" t="s">
        <v>989</v>
      </c>
      <c r="C7" s="288"/>
      <c r="D7" s="288"/>
      <c r="E7" s="288"/>
      <c r="F7" s="83"/>
      <c r="G7" s="84"/>
      <c r="H7" s="274" t="s">
        <v>95</v>
      </c>
      <c r="I7" s="275"/>
      <c r="J7" s="276"/>
    </row>
    <row r="8" spans="1:10" ht="18.75" x14ac:dyDescent="0.15">
      <c r="A8" s="82" t="s">
        <v>96</v>
      </c>
      <c r="B8" s="91"/>
      <c r="C8" s="82" t="s">
        <v>97</v>
      </c>
      <c r="D8" s="286"/>
      <c r="E8" s="287"/>
      <c r="F8" s="83"/>
      <c r="G8" s="84"/>
      <c r="H8" s="92"/>
      <c r="I8" s="93"/>
      <c r="J8" s="94"/>
    </row>
    <row r="9" spans="1:10" ht="18.75" x14ac:dyDescent="0.15">
      <c r="A9" s="95" t="s">
        <v>98</v>
      </c>
      <c r="B9" s="96"/>
      <c r="C9" s="97" t="s">
        <v>99</v>
      </c>
      <c r="D9" s="96"/>
      <c r="E9" s="96"/>
      <c r="F9" s="83"/>
      <c r="G9" s="89"/>
      <c r="H9" s="98" t="s">
        <v>100</v>
      </c>
      <c r="I9" s="277" t="str">
        <f>IF(B9="","",B9)</f>
        <v/>
      </c>
      <c r="J9" s="277"/>
    </row>
    <row r="10" spans="1:10" ht="28.5" customHeight="1" x14ac:dyDescent="0.15"/>
    <row r="11" spans="1:10" ht="22.5" customHeight="1" x14ac:dyDescent="0.15">
      <c r="A11" s="141" t="s">
        <v>962</v>
      </c>
      <c r="B11" s="268" t="s">
        <v>985</v>
      </c>
      <c r="C11" s="269"/>
      <c r="D11" s="269"/>
      <c r="E11" s="270"/>
    </row>
    <row r="12" spans="1:10" ht="24.75" customHeight="1" x14ac:dyDescent="0.15">
      <c r="A12" s="141" t="s">
        <v>963</v>
      </c>
      <c r="B12" s="271" t="s">
        <v>987</v>
      </c>
      <c r="C12" s="272"/>
      <c r="D12" s="272"/>
      <c r="E12" s="273"/>
    </row>
    <row r="13" spans="1:10" x14ac:dyDescent="0.15">
      <c r="G13" s="120"/>
      <c r="I13" s="121"/>
    </row>
    <row r="14" spans="1:10" x14ac:dyDescent="0.15">
      <c r="C14" s="120"/>
    </row>
    <row r="15" spans="1:10" x14ac:dyDescent="0.15">
      <c r="A15" s="154" t="s">
        <v>990</v>
      </c>
    </row>
    <row r="16" spans="1:10" x14ac:dyDescent="0.15">
      <c r="E16" s="120"/>
    </row>
    <row r="18" spans="3:6" x14ac:dyDescent="0.15">
      <c r="C18" s="120"/>
      <c r="E18" s="120"/>
      <c r="F18" s="120"/>
    </row>
    <row r="19" spans="3:6" x14ac:dyDescent="0.15">
      <c r="D19" s="120"/>
    </row>
  </sheetData>
  <mergeCells count="14">
    <mergeCell ref="B11:E11"/>
    <mergeCell ref="B12:E12"/>
    <mergeCell ref="H7:J7"/>
    <mergeCell ref="I9:J9"/>
    <mergeCell ref="A2:C2"/>
    <mergeCell ref="H2:J2"/>
    <mergeCell ref="B3:C3"/>
    <mergeCell ref="H3:J3"/>
    <mergeCell ref="H5:J5"/>
    <mergeCell ref="D4:E4"/>
    <mergeCell ref="D5:E5"/>
    <mergeCell ref="B6:E6"/>
    <mergeCell ref="B7:E7"/>
    <mergeCell ref="D8:E8"/>
  </mergeCells>
  <phoneticPr fontId="24" type="noConversion"/>
  <pageMargins left="0" right="0.70866141732283472" top="0.74803149606299213" bottom="0.74803149606299213" header="0.31496062992125984" footer="0.31496062992125984"/>
  <pageSetup paperSize="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顺序号" altText="增加顺序号">
                <anchor moveWithCells="1" sizeWithCells="1">
                  <from>
                    <xdr:col>10</xdr:col>
                    <xdr:colOff>19050</xdr:colOff>
                    <xdr:row>10</xdr:row>
                    <xdr:rowOff>66675</xdr:rowOff>
                  </from>
                  <to>
                    <xdr:col>11</xdr:col>
                    <xdr:colOff>542925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打印开户单" altText="增加顺序号">
                <anchor moveWithCells="1" sizeWithCells="1">
                  <from>
                    <xdr:col>12</xdr:col>
                    <xdr:colOff>9525</xdr:colOff>
                    <xdr:row>10</xdr:row>
                    <xdr:rowOff>76200</xdr:rowOff>
                  </from>
                  <to>
                    <xdr:col>13</xdr:col>
                    <xdr:colOff>419100</xdr:colOff>
                    <xdr:row>11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53"/>
  <sheetViews>
    <sheetView workbookViewId="0">
      <pane ySplit="1" topLeftCell="A29" activePane="bottomLeft" state="frozen"/>
      <selection pane="bottomLeft" activeCell="D57" sqref="D57"/>
    </sheetView>
  </sheetViews>
  <sheetFormatPr defaultRowHeight="14.25" x14ac:dyDescent="0.15"/>
  <cols>
    <col min="1" max="1" width="18.25" style="142" customWidth="1"/>
    <col min="2" max="2" width="12.75" customWidth="1"/>
    <col min="3" max="3" width="11.25" customWidth="1"/>
    <col min="4" max="4" width="15.75" customWidth="1"/>
    <col min="5" max="5" width="10.375" customWidth="1"/>
    <col min="6" max="6" width="22.5" style="100" customWidth="1"/>
    <col min="7" max="7" width="18.625" customWidth="1"/>
    <col min="8" max="8" width="25.5" customWidth="1"/>
    <col min="9" max="9" width="47.25" customWidth="1"/>
  </cols>
  <sheetData>
    <row r="1" spans="1:9" x14ac:dyDescent="0.15">
      <c r="A1" s="145" t="s">
        <v>4</v>
      </c>
      <c r="B1" s="143" t="s">
        <v>958</v>
      </c>
      <c r="C1" s="143" t="s">
        <v>967</v>
      </c>
      <c r="D1" s="143" t="s">
        <v>968</v>
      </c>
      <c r="E1" s="143" t="s">
        <v>969</v>
      </c>
      <c r="F1" s="144" t="s">
        <v>959</v>
      </c>
      <c r="G1" s="143" t="s">
        <v>960</v>
      </c>
      <c r="H1" s="143" t="s">
        <v>961</v>
      </c>
      <c r="I1" s="143" t="s">
        <v>964</v>
      </c>
    </row>
    <row r="2" spans="1:9" x14ac:dyDescent="0.15">
      <c r="A2" s="142">
        <v>43164.563929282405</v>
      </c>
      <c r="B2">
        <v>180305003</v>
      </c>
      <c r="C2" t="s">
        <v>348</v>
      </c>
      <c r="D2" t="s">
        <v>718</v>
      </c>
      <c r="E2" t="s">
        <v>970</v>
      </c>
      <c r="F2" s="100" t="s">
        <v>349</v>
      </c>
      <c r="G2" t="s">
        <v>405</v>
      </c>
      <c r="H2" t="s">
        <v>976</v>
      </c>
      <c r="I2" t="s">
        <v>350</v>
      </c>
    </row>
    <row r="3" spans="1:9" x14ac:dyDescent="0.15">
      <c r="A3" s="113">
        <v>43116.555555555555</v>
      </c>
      <c r="B3" s="49">
        <v>180116004</v>
      </c>
      <c r="C3" s="49" t="s">
        <v>105</v>
      </c>
      <c r="D3" s="49" t="s">
        <v>101</v>
      </c>
      <c r="F3" s="49" t="s">
        <v>106</v>
      </c>
      <c r="G3" s="49" t="s">
        <v>595</v>
      </c>
      <c r="H3" s="101" t="s">
        <v>596</v>
      </c>
      <c r="I3" s="49" t="s">
        <v>107</v>
      </c>
    </row>
    <row r="4" spans="1:9" x14ac:dyDescent="0.15">
      <c r="A4" s="113">
        <v>43116.679861111108</v>
      </c>
      <c r="B4" s="49">
        <v>180116006</v>
      </c>
      <c r="C4" s="49" t="s">
        <v>109</v>
      </c>
      <c r="D4" s="49" t="s">
        <v>108</v>
      </c>
      <c r="F4" s="49" t="s">
        <v>110</v>
      </c>
      <c r="G4" s="49" t="s">
        <v>595</v>
      </c>
      <c r="H4" s="101" t="s">
        <v>597</v>
      </c>
      <c r="I4" s="49" t="s">
        <v>111</v>
      </c>
    </row>
    <row r="5" spans="1:9" x14ac:dyDescent="0.15">
      <c r="A5" s="113">
        <v>43116.70208333333</v>
      </c>
      <c r="B5" s="49">
        <v>180116007</v>
      </c>
      <c r="C5" s="49" t="s">
        <v>113</v>
      </c>
      <c r="D5" s="49" t="s">
        <v>112</v>
      </c>
      <c r="F5" s="49" t="s">
        <v>114</v>
      </c>
      <c r="G5" s="49" t="s">
        <v>595</v>
      </c>
      <c r="H5" s="101" t="s">
        <v>598</v>
      </c>
      <c r="I5" s="49" t="s">
        <v>115</v>
      </c>
    </row>
    <row r="6" spans="1:9" x14ac:dyDescent="0.15">
      <c r="A6" s="113">
        <v>43117.444444444445</v>
      </c>
      <c r="B6" s="49">
        <v>180117001</v>
      </c>
      <c r="C6" s="49" t="s">
        <v>118</v>
      </c>
      <c r="D6" s="49" t="s">
        <v>116</v>
      </c>
      <c r="F6" s="49" t="s">
        <v>117</v>
      </c>
      <c r="G6" s="49" t="s">
        <v>595</v>
      </c>
      <c r="H6" s="101" t="s">
        <v>599</v>
      </c>
      <c r="I6" s="49" t="s">
        <v>119</v>
      </c>
    </row>
    <row r="7" spans="1:9" x14ac:dyDescent="0.15">
      <c r="A7" s="113">
        <v>43117.547222222223</v>
      </c>
      <c r="B7" s="49">
        <v>180117003</v>
      </c>
      <c r="C7" s="49" t="s">
        <v>126</v>
      </c>
      <c r="D7" s="49" t="s">
        <v>129</v>
      </c>
      <c r="F7" s="49" t="s">
        <v>127</v>
      </c>
      <c r="G7" s="49" t="s">
        <v>595</v>
      </c>
      <c r="H7" s="101" t="s">
        <v>600</v>
      </c>
      <c r="I7" s="49" t="s">
        <v>128</v>
      </c>
    </row>
    <row r="8" spans="1:9" x14ac:dyDescent="0.15">
      <c r="A8" s="113">
        <v>43117.55972222222</v>
      </c>
      <c r="B8" s="49">
        <v>180117002</v>
      </c>
      <c r="C8" s="49" t="s">
        <v>124</v>
      </c>
      <c r="D8" s="49" t="s">
        <v>123</v>
      </c>
      <c r="F8" s="49" t="s">
        <v>125</v>
      </c>
      <c r="G8" s="49" t="s">
        <v>595</v>
      </c>
      <c r="H8" s="101" t="s">
        <v>602</v>
      </c>
      <c r="I8" s="49" t="s">
        <v>122</v>
      </c>
    </row>
    <row r="9" spans="1:9" x14ac:dyDescent="0.15">
      <c r="A9" s="113">
        <v>43117.594444444447</v>
      </c>
      <c r="B9" s="49">
        <v>180117004</v>
      </c>
      <c r="C9" s="49" t="s">
        <v>132</v>
      </c>
      <c r="D9" s="49" t="s">
        <v>131</v>
      </c>
      <c r="F9" s="49" t="s">
        <v>133</v>
      </c>
      <c r="G9" s="49" t="s">
        <v>595</v>
      </c>
      <c r="H9" s="101" t="s">
        <v>603</v>
      </c>
      <c r="I9" s="49" t="s">
        <v>134</v>
      </c>
    </row>
    <row r="10" spans="1:9" x14ac:dyDescent="0.15">
      <c r="A10" s="113">
        <v>43117.696527777778</v>
      </c>
      <c r="B10" s="49">
        <v>180117006</v>
      </c>
      <c r="C10" s="49" t="s">
        <v>140</v>
      </c>
      <c r="D10" s="49" t="s">
        <v>142</v>
      </c>
      <c r="F10" s="49" t="s">
        <v>135</v>
      </c>
      <c r="G10" s="49" t="s">
        <v>595</v>
      </c>
      <c r="H10" s="101" t="s">
        <v>604</v>
      </c>
      <c r="I10" s="49" t="s">
        <v>141</v>
      </c>
    </row>
    <row r="11" spans="1:9" x14ac:dyDescent="0.15">
      <c r="A11" s="113">
        <v>43117.715277777781</v>
      </c>
      <c r="B11" s="49">
        <v>180117009</v>
      </c>
      <c r="C11" s="49" t="s">
        <v>137</v>
      </c>
      <c r="D11" s="49" t="s">
        <v>136</v>
      </c>
      <c r="F11" s="49" t="s">
        <v>138</v>
      </c>
      <c r="G11" s="49" t="s">
        <v>595</v>
      </c>
      <c r="H11" s="101" t="s">
        <v>143</v>
      </c>
      <c r="I11" s="49" t="s">
        <v>139</v>
      </c>
    </row>
    <row r="12" spans="1:9" x14ac:dyDescent="0.15">
      <c r="A12" s="113">
        <v>43118.431944444441</v>
      </c>
      <c r="B12" s="49">
        <v>180118003</v>
      </c>
      <c r="C12" s="49" t="s">
        <v>149</v>
      </c>
      <c r="D12" s="49" t="s">
        <v>148</v>
      </c>
      <c r="F12" s="49" t="s">
        <v>150</v>
      </c>
      <c r="G12" s="49" t="s">
        <v>605</v>
      </c>
      <c r="H12" s="101" t="s">
        <v>606</v>
      </c>
      <c r="I12" s="49" t="s">
        <v>151</v>
      </c>
    </row>
    <row r="13" spans="1:9" x14ac:dyDescent="0.15">
      <c r="A13" s="113">
        <v>43118.444444444445</v>
      </c>
      <c r="B13" s="49">
        <v>180118002</v>
      </c>
      <c r="C13" s="49" t="s">
        <v>145</v>
      </c>
      <c r="D13" s="49" t="s">
        <v>144</v>
      </c>
      <c r="F13" s="49" t="s">
        <v>146</v>
      </c>
      <c r="G13" s="49" t="s">
        <v>595</v>
      </c>
      <c r="H13" s="101" t="s">
        <v>607</v>
      </c>
      <c r="I13" s="49" t="s">
        <v>147</v>
      </c>
    </row>
    <row r="14" spans="1:9" x14ac:dyDescent="0.15">
      <c r="A14" s="113">
        <v>43118.488194444442</v>
      </c>
      <c r="B14" s="49">
        <v>180118006</v>
      </c>
      <c r="C14" s="49" t="s">
        <v>145</v>
      </c>
      <c r="D14" s="49" t="s">
        <v>152</v>
      </c>
      <c r="F14" s="49" t="s">
        <v>146</v>
      </c>
      <c r="G14" s="49" t="s">
        <v>595</v>
      </c>
      <c r="H14" s="101" t="s">
        <v>607</v>
      </c>
      <c r="I14" s="49" t="s">
        <v>147</v>
      </c>
    </row>
    <row r="15" spans="1:9" x14ac:dyDescent="0.15">
      <c r="A15" s="113">
        <v>43118.494444444441</v>
      </c>
      <c r="B15" s="49">
        <v>180118009</v>
      </c>
      <c r="C15" s="49" t="s">
        <v>155</v>
      </c>
      <c r="D15" s="49" t="s">
        <v>154</v>
      </c>
      <c r="F15" s="49" t="s">
        <v>156</v>
      </c>
      <c r="G15" s="49" t="s">
        <v>595</v>
      </c>
      <c r="H15" s="101" t="s">
        <v>608</v>
      </c>
      <c r="I15" s="49" t="s">
        <v>157</v>
      </c>
    </row>
    <row r="16" spans="1:9" x14ac:dyDescent="0.15">
      <c r="A16" s="113">
        <v>43118.500694444447</v>
      </c>
      <c r="B16" s="49">
        <v>180118010</v>
      </c>
      <c r="C16" s="49" t="s">
        <v>137</v>
      </c>
      <c r="D16" s="49" t="s">
        <v>158</v>
      </c>
      <c r="F16" s="49" t="s">
        <v>138</v>
      </c>
      <c r="G16" s="49" t="s">
        <v>595</v>
      </c>
      <c r="H16" s="101" t="s">
        <v>609</v>
      </c>
      <c r="I16" s="49" t="s">
        <v>139</v>
      </c>
    </row>
    <row r="17" spans="1:9" x14ac:dyDescent="0.15">
      <c r="A17" s="113">
        <v>43118.510416666664</v>
      </c>
      <c r="B17" s="49">
        <v>180118007</v>
      </c>
      <c r="C17" s="49" t="s">
        <v>145</v>
      </c>
      <c r="D17" s="49" t="s">
        <v>153</v>
      </c>
      <c r="F17" s="49" t="s">
        <v>146</v>
      </c>
      <c r="G17" s="49" t="s">
        <v>595</v>
      </c>
      <c r="H17" s="101" t="s">
        <v>607</v>
      </c>
      <c r="I17" s="49" t="s">
        <v>147</v>
      </c>
    </row>
    <row r="18" spans="1:9" x14ac:dyDescent="0.15">
      <c r="A18" s="113">
        <v>43118.535416666666</v>
      </c>
      <c r="B18" s="49">
        <v>180118011</v>
      </c>
      <c r="C18" s="49" t="s">
        <v>159</v>
      </c>
      <c r="D18" s="49" t="s">
        <v>131</v>
      </c>
      <c r="F18" s="49" t="s">
        <v>133</v>
      </c>
      <c r="G18" s="49" t="s">
        <v>595</v>
      </c>
      <c r="H18" s="101" t="s">
        <v>603</v>
      </c>
      <c r="I18" s="49" t="s">
        <v>160</v>
      </c>
    </row>
    <row r="19" spans="1:9" x14ac:dyDescent="0.15">
      <c r="A19" s="113">
        <v>43118.587500000001</v>
      </c>
      <c r="B19" s="49">
        <v>180118015</v>
      </c>
      <c r="C19" s="49" t="s">
        <v>137</v>
      </c>
      <c r="D19" s="49" t="s">
        <v>165</v>
      </c>
      <c r="F19" s="49" t="s">
        <v>138</v>
      </c>
      <c r="G19" s="49" t="s">
        <v>595</v>
      </c>
      <c r="H19" s="101" t="s">
        <v>609</v>
      </c>
      <c r="I19" s="49" t="s">
        <v>139</v>
      </c>
    </row>
    <row r="20" spans="1:9" x14ac:dyDescent="0.15">
      <c r="A20" s="113">
        <v>43118.607638888891</v>
      </c>
      <c r="B20" s="49">
        <v>180118014</v>
      </c>
      <c r="C20" s="49" t="s">
        <v>162</v>
      </c>
      <c r="D20" s="49" t="s">
        <v>161</v>
      </c>
      <c r="F20" s="49" t="s">
        <v>163</v>
      </c>
      <c r="G20" s="49" t="s">
        <v>595</v>
      </c>
      <c r="H20" s="101" t="s">
        <v>610</v>
      </c>
      <c r="I20" s="49" t="s">
        <v>164</v>
      </c>
    </row>
    <row r="21" spans="1:9" x14ac:dyDescent="0.15">
      <c r="A21" s="113">
        <v>43118.643750000003</v>
      </c>
      <c r="B21" s="49">
        <v>180118017</v>
      </c>
      <c r="C21" s="49" t="s">
        <v>155</v>
      </c>
      <c r="D21" s="49" t="s">
        <v>166</v>
      </c>
      <c r="F21" s="49" t="s">
        <v>156</v>
      </c>
      <c r="G21" s="49" t="s">
        <v>595</v>
      </c>
      <c r="H21" s="101" t="s">
        <v>608</v>
      </c>
      <c r="I21" s="49" t="s">
        <v>157</v>
      </c>
    </row>
    <row r="22" spans="1:9" x14ac:dyDescent="0.15">
      <c r="A22" s="106">
        <v>43118.65</v>
      </c>
      <c r="B22" s="107">
        <v>180118016</v>
      </c>
      <c r="C22" s="107" t="s">
        <v>118</v>
      </c>
      <c r="D22" s="107" t="s">
        <v>116</v>
      </c>
      <c r="F22" s="107" t="s">
        <v>117</v>
      </c>
      <c r="G22" s="107" t="s">
        <v>595</v>
      </c>
      <c r="H22" s="108" t="s">
        <v>599</v>
      </c>
      <c r="I22" s="107" t="s">
        <v>119</v>
      </c>
    </row>
    <row r="23" spans="1:9" x14ac:dyDescent="0.15">
      <c r="A23" s="113">
        <v>43118.677777777775</v>
      </c>
      <c r="B23" s="49">
        <v>180118018</v>
      </c>
      <c r="C23" s="49" t="s">
        <v>168</v>
      </c>
      <c r="D23" s="49" t="s">
        <v>167</v>
      </c>
      <c r="F23" s="49" t="s">
        <v>169</v>
      </c>
      <c r="G23" s="107" t="s">
        <v>595</v>
      </c>
      <c r="H23" s="101" t="s">
        <v>611</v>
      </c>
      <c r="I23" s="49" t="s">
        <v>170</v>
      </c>
    </row>
    <row r="24" spans="1:9" x14ac:dyDescent="0.15">
      <c r="A24" s="113">
        <v>43118.705555555556</v>
      </c>
      <c r="B24" s="49">
        <v>180118019</v>
      </c>
      <c r="C24" s="49" t="s">
        <v>172</v>
      </c>
      <c r="D24" s="49" t="s">
        <v>171</v>
      </c>
      <c r="F24" s="49" t="s">
        <v>173</v>
      </c>
      <c r="G24" s="49" t="s">
        <v>595</v>
      </c>
      <c r="H24" s="101" t="s">
        <v>612</v>
      </c>
      <c r="I24" s="49" t="s">
        <v>174</v>
      </c>
    </row>
    <row r="25" spans="1:9" x14ac:dyDescent="0.15">
      <c r="A25" s="113">
        <v>43119.42083333333</v>
      </c>
      <c r="B25" s="49">
        <v>180119001</v>
      </c>
      <c r="C25" s="49" t="s">
        <v>193</v>
      </c>
      <c r="D25" s="49" t="s">
        <v>175</v>
      </c>
      <c r="F25" s="49" t="s">
        <v>146</v>
      </c>
      <c r="G25" s="49" t="s">
        <v>595</v>
      </c>
      <c r="H25" s="101" t="s">
        <v>607</v>
      </c>
      <c r="I25" s="49" t="s">
        <v>147</v>
      </c>
    </row>
    <row r="26" spans="1:9" x14ac:dyDescent="0.15">
      <c r="A26" s="113">
        <v>43119.428472222222</v>
      </c>
      <c r="B26" s="49">
        <v>180119002</v>
      </c>
      <c r="C26" s="49" t="s">
        <v>177</v>
      </c>
      <c r="D26" s="49" t="s">
        <v>176</v>
      </c>
      <c r="F26" s="49" t="s">
        <v>178</v>
      </c>
      <c r="G26" s="49" t="s">
        <v>595</v>
      </c>
      <c r="H26" s="101" t="s">
        <v>613</v>
      </c>
      <c r="I26" s="49" t="s">
        <v>179</v>
      </c>
    </row>
    <row r="27" spans="1:9" x14ac:dyDescent="0.15">
      <c r="A27" s="113">
        <v>43119.467361111114</v>
      </c>
      <c r="B27" s="49">
        <v>180119007</v>
      </c>
      <c r="C27" s="49" t="s">
        <v>180</v>
      </c>
      <c r="D27" s="49" t="s">
        <v>144</v>
      </c>
      <c r="F27" s="49" t="s">
        <v>181</v>
      </c>
      <c r="G27" s="49" t="s">
        <v>605</v>
      </c>
      <c r="H27" s="101" t="s">
        <v>614</v>
      </c>
      <c r="I27" s="49" t="s">
        <v>182</v>
      </c>
    </row>
    <row r="28" spans="1:9" x14ac:dyDescent="0.15">
      <c r="A28" s="113">
        <v>43119.474999999999</v>
      </c>
      <c r="B28" s="49">
        <v>180119008</v>
      </c>
      <c r="C28" s="49" t="s">
        <v>180</v>
      </c>
      <c r="D28" s="49" t="s">
        <v>183</v>
      </c>
      <c r="F28" s="49" t="s">
        <v>181</v>
      </c>
      <c r="G28" s="49" t="s">
        <v>605</v>
      </c>
      <c r="H28" s="101" t="s">
        <v>614</v>
      </c>
      <c r="I28" s="49" t="s">
        <v>182</v>
      </c>
    </row>
    <row r="29" spans="1:9" x14ac:dyDescent="0.15">
      <c r="A29" s="113">
        <v>43119.482638888891</v>
      </c>
      <c r="B29" s="49">
        <v>180119009</v>
      </c>
      <c r="C29" s="49" t="s">
        <v>185</v>
      </c>
      <c r="D29" s="49" t="s">
        <v>184</v>
      </c>
      <c r="F29" s="49" t="s">
        <v>186</v>
      </c>
      <c r="G29" s="49" t="s">
        <v>595</v>
      </c>
      <c r="H29" s="101" t="s">
        <v>615</v>
      </c>
      <c r="I29" s="49" t="s">
        <v>187</v>
      </c>
    </row>
    <row r="30" spans="1:9" x14ac:dyDescent="0.15">
      <c r="A30" s="113">
        <v>43119.505555555559</v>
      </c>
      <c r="B30" s="49">
        <v>180119010</v>
      </c>
      <c r="C30" s="49" t="s">
        <v>189</v>
      </c>
      <c r="D30" s="49" t="s">
        <v>188</v>
      </c>
      <c r="F30" s="49" t="s">
        <v>190</v>
      </c>
      <c r="G30" s="49" t="s">
        <v>595</v>
      </c>
      <c r="H30" s="101" t="s">
        <v>616</v>
      </c>
      <c r="I30" s="49" t="s">
        <v>191</v>
      </c>
    </row>
    <row r="31" spans="1:9" x14ac:dyDescent="0.15">
      <c r="A31" s="113">
        <v>43119.536805555559</v>
      </c>
      <c r="B31" s="49">
        <v>180119011</v>
      </c>
      <c r="C31" s="49" t="s">
        <v>189</v>
      </c>
      <c r="D31" s="49" t="s">
        <v>192</v>
      </c>
      <c r="F31" s="49" t="s">
        <v>190</v>
      </c>
      <c r="G31" s="49" t="s">
        <v>595</v>
      </c>
      <c r="H31" s="101" t="s">
        <v>616</v>
      </c>
      <c r="I31" s="49" t="s">
        <v>191</v>
      </c>
    </row>
    <row r="32" spans="1:9" x14ac:dyDescent="0.15">
      <c r="A32" s="113">
        <v>43119.564583333333</v>
      </c>
      <c r="B32" s="49">
        <v>180119019</v>
      </c>
      <c r="C32" s="49" t="s">
        <v>205</v>
      </c>
      <c r="D32" s="49" t="s">
        <v>208</v>
      </c>
      <c r="F32" s="49" t="s">
        <v>206</v>
      </c>
      <c r="G32" s="49" t="s">
        <v>595</v>
      </c>
      <c r="H32" s="101" t="s">
        <v>617</v>
      </c>
      <c r="I32" s="49" t="s">
        <v>207</v>
      </c>
    </row>
    <row r="33" spans="1:9" x14ac:dyDescent="0.15">
      <c r="A33" s="113">
        <v>43119.569444444445</v>
      </c>
      <c r="B33" s="49">
        <v>180119018</v>
      </c>
      <c r="C33" s="49" t="s">
        <v>205</v>
      </c>
      <c r="D33" s="49" t="s">
        <v>165</v>
      </c>
      <c r="F33" s="49" t="s">
        <v>206</v>
      </c>
      <c r="G33" s="49" t="s">
        <v>595</v>
      </c>
      <c r="H33" s="101" t="s">
        <v>617</v>
      </c>
      <c r="I33" s="49" t="s">
        <v>207</v>
      </c>
    </row>
    <row r="34" spans="1:9" x14ac:dyDescent="0.15">
      <c r="A34" s="113">
        <v>43119.592361111114</v>
      </c>
      <c r="B34" s="49">
        <v>180119012</v>
      </c>
      <c r="C34" s="49" t="s">
        <v>195</v>
      </c>
      <c r="D34" s="49" t="s">
        <v>194</v>
      </c>
      <c r="F34" s="49" t="s">
        <v>196</v>
      </c>
      <c r="G34" s="49" t="s">
        <v>595</v>
      </c>
      <c r="H34" s="101" t="s">
        <v>618</v>
      </c>
      <c r="I34" s="49" t="s">
        <v>197</v>
      </c>
    </row>
    <row r="35" spans="1:9" x14ac:dyDescent="0.15">
      <c r="A35" s="113">
        <v>43119.618750000001</v>
      </c>
      <c r="B35" s="49">
        <v>180119013</v>
      </c>
      <c r="C35" s="49" t="s">
        <v>217</v>
      </c>
      <c r="D35" s="49" t="s">
        <v>198</v>
      </c>
      <c r="F35" s="49" t="s">
        <v>199</v>
      </c>
      <c r="G35" s="49" t="s">
        <v>605</v>
      </c>
      <c r="H35" s="101" t="s">
        <v>619</v>
      </c>
      <c r="I35" s="49" t="s">
        <v>200</v>
      </c>
    </row>
    <row r="36" spans="1:9" x14ac:dyDescent="0.15">
      <c r="A36" s="113">
        <v>43119.63958333333</v>
      </c>
      <c r="B36" s="49">
        <v>180119016</v>
      </c>
      <c r="C36" s="49" t="s">
        <v>180</v>
      </c>
      <c r="D36" s="49" t="s">
        <v>203</v>
      </c>
      <c r="F36" s="49" t="s">
        <v>181</v>
      </c>
      <c r="G36" s="49" t="s">
        <v>605</v>
      </c>
      <c r="H36" s="101" t="s">
        <v>614</v>
      </c>
      <c r="I36" s="49" t="s">
        <v>182</v>
      </c>
    </row>
    <row r="37" spans="1:9" x14ac:dyDescent="0.15">
      <c r="A37" s="113">
        <v>43119.645833333336</v>
      </c>
      <c r="B37" s="49">
        <v>180119017</v>
      </c>
      <c r="C37" s="49" t="s">
        <v>180</v>
      </c>
      <c r="D37" s="49" t="s">
        <v>204</v>
      </c>
      <c r="F37" s="49" t="s">
        <v>181</v>
      </c>
      <c r="G37" s="49" t="s">
        <v>605</v>
      </c>
      <c r="H37" s="101" t="s">
        <v>614</v>
      </c>
      <c r="I37" s="49" t="s">
        <v>182</v>
      </c>
    </row>
    <row r="38" spans="1:9" x14ac:dyDescent="0.15">
      <c r="A38" s="113">
        <v>43119.654861111114</v>
      </c>
      <c r="B38" s="49">
        <v>180119015</v>
      </c>
      <c r="C38" s="49" t="s">
        <v>180</v>
      </c>
      <c r="D38" s="49" t="s">
        <v>202</v>
      </c>
      <c r="F38" s="49" t="s">
        <v>181</v>
      </c>
      <c r="G38" s="49" t="s">
        <v>605</v>
      </c>
      <c r="H38" s="101" t="s">
        <v>614</v>
      </c>
      <c r="I38" s="49" t="s">
        <v>182</v>
      </c>
    </row>
    <row r="39" spans="1:9" x14ac:dyDescent="0.15">
      <c r="A39" s="113">
        <v>43119.663194444445</v>
      </c>
      <c r="B39" s="49">
        <v>180119014</v>
      </c>
      <c r="C39" s="49" t="s">
        <v>223</v>
      </c>
      <c r="D39" s="49" t="s">
        <v>201</v>
      </c>
      <c r="F39" s="49" t="s">
        <v>199</v>
      </c>
      <c r="G39" s="49" t="s">
        <v>605</v>
      </c>
      <c r="H39" s="101" t="s">
        <v>619</v>
      </c>
      <c r="I39" s="49" t="s">
        <v>200</v>
      </c>
    </row>
    <row r="40" spans="1:9" x14ac:dyDescent="0.15">
      <c r="A40" s="113">
        <v>43119.672222222223</v>
      </c>
      <c r="B40" s="49">
        <v>180119023</v>
      </c>
      <c r="C40" s="49" t="s">
        <v>212</v>
      </c>
      <c r="D40" s="49" t="s">
        <v>211</v>
      </c>
      <c r="F40" s="49" t="s">
        <v>213</v>
      </c>
      <c r="G40" s="49" t="s">
        <v>595</v>
      </c>
      <c r="H40" s="101" t="s">
        <v>620</v>
      </c>
      <c r="I40" s="49" t="s">
        <v>214</v>
      </c>
    </row>
    <row r="41" spans="1:9" x14ac:dyDescent="0.15">
      <c r="A41" s="113">
        <v>43119.680555555555</v>
      </c>
      <c r="B41" s="49">
        <v>180119020</v>
      </c>
      <c r="C41" s="49" t="s">
        <v>180</v>
      </c>
      <c r="D41" s="49" t="s">
        <v>209</v>
      </c>
      <c r="F41" s="49" t="s">
        <v>181</v>
      </c>
      <c r="G41" s="49" t="s">
        <v>605</v>
      </c>
      <c r="H41" s="101" t="s">
        <v>614</v>
      </c>
      <c r="I41" s="49" t="s">
        <v>182</v>
      </c>
    </row>
    <row r="42" spans="1:9" x14ac:dyDescent="0.15">
      <c r="A42" s="113">
        <v>43119.688888888886</v>
      </c>
      <c r="B42" s="49">
        <v>180119026</v>
      </c>
      <c r="C42" s="49" t="s">
        <v>118</v>
      </c>
      <c r="D42" s="49" t="s">
        <v>116</v>
      </c>
      <c r="F42" s="49" t="s">
        <v>117</v>
      </c>
      <c r="G42" s="49" t="s">
        <v>595</v>
      </c>
      <c r="H42" s="101" t="s">
        <v>599</v>
      </c>
      <c r="I42" s="49" t="s">
        <v>119</v>
      </c>
    </row>
    <row r="43" spans="1:9" x14ac:dyDescent="0.15">
      <c r="A43" s="113">
        <v>43119.70208333333</v>
      </c>
      <c r="B43" s="49">
        <v>180119028</v>
      </c>
      <c r="C43" s="49" t="s">
        <v>219</v>
      </c>
      <c r="D43" s="49" t="s">
        <v>218</v>
      </c>
      <c r="F43" s="49" t="s">
        <v>220</v>
      </c>
      <c r="G43" s="49" t="s">
        <v>595</v>
      </c>
      <c r="H43" s="101" t="s">
        <v>621</v>
      </c>
      <c r="I43" s="49" t="s">
        <v>221</v>
      </c>
    </row>
    <row r="44" spans="1:9" x14ac:dyDescent="0.15">
      <c r="A44" s="113">
        <v>43119.714583333334</v>
      </c>
      <c r="B44" s="49">
        <v>180119021</v>
      </c>
      <c r="C44" s="49" t="s">
        <v>180</v>
      </c>
      <c r="D44" s="49" t="s">
        <v>210</v>
      </c>
      <c r="F44" s="49" t="s">
        <v>181</v>
      </c>
      <c r="G44" s="49" t="s">
        <v>605</v>
      </c>
      <c r="H44" s="101" t="s">
        <v>614</v>
      </c>
      <c r="I44" s="49" t="s">
        <v>182</v>
      </c>
    </row>
    <row r="45" spans="1:9" x14ac:dyDescent="0.15">
      <c r="A45" s="113">
        <v>43119.727777777778</v>
      </c>
      <c r="B45" s="49">
        <v>180119030</v>
      </c>
      <c r="C45" s="49" t="s">
        <v>159</v>
      </c>
      <c r="D45" s="49" t="s">
        <v>131</v>
      </c>
      <c r="F45" s="49" t="s">
        <v>133</v>
      </c>
      <c r="G45" s="49" t="s">
        <v>595</v>
      </c>
      <c r="H45" s="101" t="s">
        <v>603</v>
      </c>
      <c r="I45" s="49" t="s">
        <v>160</v>
      </c>
    </row>
    <row r="46" spans="1:9" x14ac:dyDescent="0.15">
      <c r="A46" s="113">
        <v>43119.736111111109</v>
      </c>
      <c r="B46" s="49">
        <v>180119031</v>
      </c>
      <c r="C46" s="49" t="s">
        <v>162</v>
      </c>
      <c r="D46" s="49" t="s">
        <v>161</v>
      </c>
      <c r="F46" s="49" t="s">
        <v>163</v>
      </c>
      <c r="G46" s="49" t="s">
        <v>595</v>
      </c>
      <c r="H46" s="101" t="s">
        <v>610</v>
      </c>
      <c r="I46" s="49" t="s">
        <v>164</v>
      </c>
    </row>
    <row r="47" spans="1:9" x14ac:dyDescent="0.15">
      <c r="A47" s="149">
        <v>43119.746527777781</v>
      </c>
      <c r="B47" s="150">
        <v>180119029</v>
      </c>
      <c r="C47" s="150" t="s">
        <v>223</v>
      </c>
      <c r="D47" s="150" t="s">
        <v>222</v>
      </c>
      <c r="E47" s="151"/>
      <c r="F47" s="150" t="s">
        <v>199</v>
      </c>
      <c r="G47" s="150" t="s">
        <v>605</v>
      </c>
      <c r="H47" s="152" t="s">
        <v>619</v>
      </c>
      <c r="I47" s="150" t="s">
        <v>200</v>
      </c>
    </row>
    <row r="48" spans="1:9" x14ac:dyDescent="0.15">
      <c r="A48" s="113">
        <v>43119.759722222225</v>
      </c>
      <c r="B48" s="49">
        <v>180119032</v>
      </c>
      <c r="C48" s="49" t="s">
        <v>168</v>
      </c>
      <c r="D48" s="49" t="s">
        <v>167</v>
      </c>
      <c r="F48" s="49" t="s">
        <v>169</v>
      </c>
      <c r="G48" s="49" t="s">
        <v>595</v>
      </c>
      <c r="H48" s="101" t="s">
        <v>611</v>
      </c>
      <c r="I48" s="49" t="s">
        <v>170</v>
      </c>
    </row>
    <row r="49" spans="1:9" x14ac:dyDescent="0.15">
      <c r="A49" s="113">
        <v>43119.767361111109</v>
      </c>
      <c r="B49" s="49">
        <v>180119027</v>
      </c>
      <c r="C49" s="49" t="s">
        <v>215</v>
      </c>
      <c r="D49" s="49" t="s">
        <v>216</v>
      </c>
      <c r="F49" s="49" t="s">
        <v>199</v>
      </c>
      <c r="G49" s="49" t="s">
        <v>605</v>
      </c>
      <c r="H49" s="101" t="s">
        <v>619</v>
      </c>
      <c r="I49" s="49" t="s">
        <v>200</v>
      </c>
    </row>
    <row r="50" spans="1:9" x14ac:dyDescent="0.15">
      <c r="A50" s="113">
        <v>43119.791666666664</v>
      </c>
      <c r="B50" s="49">
        <v>180119033</v>
      </c>
      <c r="C50" s="49" t="s">
        <v>225</v>
      </c>
      <c r="D50" s="49" t="s">
        <v>224</v>
      </c>
      <c r="F50" s="49" t="s">
        <v>226</v>
      </c>
      <c r="G50" s="49" t="s">
        <v>595</v>
      </c>
      <c r="H50" s="101" t="s">
        <v>622</v>
      </c>
      <c r="I50" s="49" t="s">
        <v>227</v>
      </c>
    </row>
    <row r="51" spans="1:9" x14ac:dyDescent="0.15">
      <c r="A51" s="113">
        <v>43119.809027777781</v>
      </c>
      <c r="B51" s="49">
        <v>180119034</v>
      </c>
      <c r="C51" s="49" t="s">
        <v>228</v>
      </c>
      <c r="D51" s="49" t="s">
        <v>231</v>
      </c>
      <c r="F51" s="49" t="s">
        <v>229</v>
      </c>
      <c r="G51" s="49" t="s">
        <v>595</v>
      </c>
      <c r="H51" s="101" t="s">
        <v>623</v>
      </c>
      <c r="I51" s="49" t="s">
        <v>230</v>
      </c>
    </row>
    <row r="52" spans="1:9" x14ac:dyDescent="0.15">
      <c r="A52" s="113">
        <v>43164.674906712964</v>
      </c>
      <c r="B52" s="49">
        <v>180305001</v>
      </c>
      <c r="C52" s="49" t="s">
        <v>977</v>
      </c>
      <c r="D52" s="49" t="s">
        <v>978</v>
      </c>
      <c r="E52" t="s">
        <v>970</v>
      </c>
      <c r="F52" s="49" t="s">
        <v>979</v>
      </c>
      <c r="G52" s="49" t="s">
        <v>980</v>
      </c>
      <c r="H52" s="101" t="s">
        <v>981</v>
      </c>
      <c r="I52" s="49" t="s">
        <v>982</v>
      </c>
    </row>
    <row r="53" spans="1:9" x14ac:dyDescent="0.15">
      <c r="A53" s="142">
        <v>43164.67590185185</v>
      </c>
      <c r="B53">
        <v>180305002</v>
      </c>
      <c r="C53">
        <v>555</v>
      </c>
      <c r="D53">
        <v>666</v>
      </c>
      <c r="E53" t="s">
        <v>970</v>
      </c>
      <c r="F53" s="100" t="s">
        <v>983</v>
      </c>
      <c r="G53" t="s">
        <v>984</v>
      </c>
      <c r="H53" t="s">
        <v>986</v>
      </c>
      <c r="I53" t="s">
        <v>988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7"/>
  <sheetViews>
    <sheetView workbookViewId="0">
      <selection activeCell="A7" sqref="A7:XFD7"/>
    </sheetView>
  </sheetViews>
  <sheetFormatPr defaultRowHeight="14.25" x14ac:dyDescent="0.15"/>
  <cols>
    <col min="1" max="1" width="43.375" style="100" customWidth="1"/>
    <col min="2" max="2" width="44.5" style="100" customWidth="1"/>
    <col min="3" max="3" width="41.875" style="100" customWidth="1"/>
    <col min="4" max="4" width="7.75" style="100" customWidth="1"/>
    <col min="5" max="5" width="11.625" style="100" customWidth="1"/>
    <col min="6" max="6" width="14.625" style="100" customWidth="1"/>
    <col min="7" max="16384" width="9" style="100"/>
  </cols>
  <sheetData>
    <row r="1" spans="1:5" x14ac:dyDescent="0.15">
      <c r="A1" s="135"/>
      <c r="B1" s="135"/>
      <c r="C1" s="135"/>
      <c r="D1" s="146"/>
      <c r="E1" s="146"/>
    </row>
    <row r="2" spans="1:5" x14ac:dyDescent="0.15">
      <c r="A2" s="148" t="s">
        <v>975</v>
      </c>
      <c r="B2" s="146"/>
      <c r="C2" s="146"/>
      <c r="D2" s="146"/>
      <c r="E2" s="146"/>
    </row>
    <row r="3" spans="1:5" ht="18.75" x14ac:dyDescent="0.15">
      <c r="A3" s="131">
        <v>3</v>
      </c>
      <c r="B3" s="132"/>
      <c r="C3" s="133"/>
      <c r="D3" s="291"/>
      <c r="E3" s="291"/>
    </row>
    <row r="4" spans="1:5" ht="18.75" x14ac:dyDescent="0.15">
      <c r="A4" s="133" t="s">
        <v>974</v>
      </c>
      <c r="B4" s="147"/>
      <c r="C4" s="133"/>
      <c r="D4" s="291"/>
      <c r="E4" s="291"/>
    </row>
    <row r="5" spans="1:5" ht="18.75" x14ac:dyDescent="0.15">
      <c r="A5" s="133"/>
      <c r="B5" s="292"/>
      <c r="C5" s="292"/>
      <c r="D5" s="292"/>
      <c r="E5" s="292"/>
    </row>
    <row r="6" spans="1:5" ht="18.75" x14ac:dyDescent="0.15">
      <c r="A6" s="133">
        <v>2</v>
      </c>
      <c r="B6" s="291"/>
      <c r="C6" s="291"/>
      <c r="D6" s="291"/>
      <c r="E6" s="291"/>
    </row>
    <row r="7" spans="1:5" ht="18.75" x14ac:dyDescent="0.15">
      <c r="A7" s="133" t="s">
        <v>974</v>
      </c>
      <c r="B7" s="134"/>
      <c r="C7" s="133"/>
      <c r="D7" s="147"/>
      <c r="E7" s="147"/>
    </row>
    <row r="8" spans="1:5" ht="18.75" x14ac:dyDescent="0.15">
      <c r="A8" s="133"/>
      <c r="B8" s="134"/>
      <c r="C8" s="89"/>
      <c r="D8" s="134"/>
      <c r="E8" s="134"/>
    </row>
    <row r="9" spans="1:5" x14ac:dyDescent="0.15">
      <c r="A9" s="146"/>
      <c r="B9" s="146"/>
      <c r="C9" s="146"/>
      <c r="D9" s="146"/>
      <c r="E9" s="146"/>
    </row>
    <row r="10" spans="1:5" x14ac:dyDescent="0.15">
      <c r="A10" s="289" t="s">
        <v>973</v>
      </c>
      <c r="B10" s="290"/>
      <c r="C10" s="290"/>
      <c r="D10" s="290"/>
      <c r="E10" s="146"/>
    </row>
    <row r="11" spans="1:5" x14ac:dyDescent="0.15">
      <c r="A11" s="290"/>
      <c r="B11" s="290"/>
      <c r="C11" s="290"/>
      <c r="D11" s="290"/>
      <c r="E11" s="146"/>
    </row>
    <row r="12" spans="1:5" x14ac:dyDescent="0.15">
      <c r="A12" s="146"/>
      <c r="B12" s="146"/>
      <c r="C12" s="146"/>
      <c r="D12" s="146"/>
      <c r="E12" s="146"/>
    </row>
    <row r="13" spans="1:5" x14ac:dyDescent="0.15">
      <c r="A13" s="146"/>
      <c r="B13" s="146"/>
      <c r="C13" s="146"/>
      <c r="D13" s="146"/>
      <c r="E13" s="146"/>
    </row>
    <row r="14" spans="1:5" x14ac:dyDescent="0.15">
      <c r="A14" s="148" t="s">
        <v>972</v>
      </c>
      <c r="B14" s="146"/>
      <c r="C14" s="146"/>
      <c r="D14" s="146"/>
      <c r="E14" s="146"/>
    </row>
    <row r="15" spans="1:5" x14ac:dyDescent="0.15">
      <c r="A15" s="146"/>
      <c r="B15" s="146"/>
      <c r="C15" s="146"/>
      <c r="D15" s="146"/>
      <c r="E15" s="146"/>
    </row>
    <row r="16" spans="1:5" x14ac:dyDescent="0.15">
      <c r="A16" s="146"/>
      <c r="B16" s="146"/>
      <c r="C16" s="146"/>
      <c r="D16" s="146"/>
      <c r="E16" s="146"/>
    </row>
    <row r="17" spans="1:5" x14ac:dyDescent="0.15">
      <c r="A17" s="146"/>
      <c r="B17" s="146"/>
      <c r="C17" s="146"/>
      <c r="D17" s="146"/>
      <c r="E17" s="146"/>
    </row>
  </sheetData>
  <mergeCells count="5">
    <mergeCell ref="A10:D11"/>
    <mergeCell ref="D3:E3"/>
    <mergeCell ref="D4:E4"/>
    <mergeCell ref="B5:E5"/>
    <mergeCell ref="B6:E6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sql</vt:lpstr>
      <vt:lpstr>设置及说明</vt:lpstr>
      <vt:lpstr>录入界面</vt:lpstr>
      <vt:lpstr>detail</vt:lpstr>
      <vt:lpstr>开户</vt:lpstr>
      <vt:lpstr>开户历史</vt:lpstr>
      <vt:lpstr>新建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王连斌</cp:lastModifiedBy>
  <cp:lastPrinted>2018-03-05T08:06:11Z</cp:lastPrinted>
  <dcterms:created xsi:type="dcterms:W3CDTF">1996-12-17T01:32:42Z</dcterms:created>
  <dcterms:modified xsi:type="dcterms:W3CDTF">2018-03-07T02:07:44Z</dcterms:modified>
</cp:coreProperties>
</file>